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patel/Downloads/"/>
    </mc:Choice>
  </mc:AlternateContent>
  <xr:revisionPtr revIDLastSave="0" documentId="13_ncr:1_{DC4FA3C1-2C12-824C-90C5-9FA5D20F582E}" xr6:coauthVersionLast="43" xr6:coauthVersionMax="43" xr10:uidLastSave="{00000000-0000-0000-0000-000000000000}"/>
  <bookViews>
    <workbookView xWindow="0" yWindow="680" windowWidth="34200" windowHeight="19780" activeTab="2" xr2:uid="{00000000-000D-0000-FFFF-FFFF00000000}"/>
  </bookViews>
  <sheets>
    <sheet name="techmart_sales-2" sheetId="1" r:id="rId1"/>
    <sheet name="Working" sheetId="2" r:id="rId2"/>
    <sheet name="pivot table" sheetId="3" r:id="rId3"/>
  </sheets>
  <definedNames>
    <definedName name="_xlnm._FilterDatabase" localSheetId="0" hidden="1">'techmart_sales-2'!$A$1:$I$816</definedName>
    <definedName name="_xlnm._FilterDatabase" localSheetId="1" hidden="1">Working!$A$1:$J$792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792" i="2" l="1"/>
  <c r="G791" i="2"/>
  <c r="L791" i="2" s="1"/>
  <c r="G790" i="2"/>
  <c r="L790" i="2" s="1"/>
  <c r="G789" i="2"/>
  <c r="L789" i="2" s="1"/>
  <c r="G788" i="2"/>
  <c r="L788" i="2" s="1"/>
  <c r="G787" i="2"/>
  <c r="L787" i="2" s="1"/>
  <c r="G786" i="2"/>
  <c r="L786" i="2" s="1"/>
  <c r="G785" i="2"/>
  <c r="L785" i="2" s="1"/>
  <c r="G784" i="2"/>
  <c r="G783" i="2"/>
  <c r="L783" i="2" s="1"/>
  <c r="G782" i="2"/>
  <c r="L782" i="2" s="1"/>
  <c r="G781" i="2"/>
  <c r="G780" i="2"/>
  <c r="L780" i="2" s="1"/>
  <c r="G779" i="2"/>
  <c r="L779" i="2" s="1"/>
  <c r="G778" i="2"/>
  <c r="L778" i="2" s="1"/>
  <c r="G777" i="2"/>
  <c r="L777" i="2" s="1"/>
  <c r="G776" i="2"/>
  <c r="G775" i="2"/>
  <c r="L775" i="2" s="1"/>
  <c r="G774" i="2"/>
  <c r="L774" i="2" s="1"/>
  <c r="G773" i="2"/>
  <c r="G772" i="2"/>
  <c r="L772" i="2" s="1"/>
  <c r="G771" i="2"/>
  <c r="L771" i="2" s="1"/>
  <c r="G770" i="2"/>
  <c r="L770" i="2" s="1"/>
  <c r="G769" i="2"/>
  <c r="L769" i="2" s="1"/>
  <c r="G768" i="2"/>
  <c r="G767" i="2"/>
  <c r="L767" i="2" s="1"/>
  <c r="G766" i="2"/>
  <c r="L766" i="2" s="1"/>
  <c r="G765" i="2"/>
  <c r="K765" i="2" s="1"/>
  <c r="G764" i="2"/>
  <c r="L764" i="2" s="1"/>
  <c r="G763" i="2"/>
  <c r="L763" i="2" s="1"/>
  <c r="G762" i="2"/>
  <c r="K762" i="2" s="1"/>
  <c r="G761" i="2"/>
  <c r="L761" i="2" s="1"/>
  <c r="G760" i="2"/>
  <c r="G759" i="2"/>
  <c r="L759" i="2" s="1"/>
  <c r="G758" i="2"/>
  <c r="L758" i="2" s="1"/>
  <c r="G757" i="2"/>
  <c r="G756" i="2"/>
  <c r="L756" i="2" s="1"/>
  <c r="G755" i="2"/>
  <c r="L755" i="2" s="1"/>
  <c r="G754" i="2"/>
  <c r="K754" i="2" s="1"/>
  <c r="G753" i="2"/>
  <c r="L753" i="2" s="1"/>
  <c r="G752" i="2"/>
  <c r="G751" i="2"/>
  <c r="L751" i="2" s="1"/>
  <c r="G750" i="2"/>
  <c r="L750" i="2" s="1"/>
  <c r="G749" i="2"/>
  <c r="G748" i="2"/>
  <c r="L748" i="2" s="1"/>
  <c r="G747" i="2"/>
  <c r="L747" i="2" s="1"/>
  <c r="G746" i="2"/>
  <c r="L746" i="2" s="1"/>
  <c r="G745" i="2"/>
  <c r="L745" i="2" s="1"/>
  <c r="G744" i="2"/>
  <c r="G743" i="2"/>
  <c r="L743" i="2" s="1"/>
  <c r="G742" i="2"/>
  <c r="L742" i="2" s="1"/>
  <c r="G741" i="2"/>
  <c r="G740" i="2"/>
  <c r="L740" i="2" s="1"/>
  <c r="G739" i="2"/>
  <c r="L739" i="2" s="1"/>
  <c r="G738" i="2"/>
  <c r="L738" i="2" s="1"/>
  <c r="G737" i="2"/>
  <c r="L737" i="2" s="1"/>
  <c r="G736" i="2"/>
  <c r="G735" i="2"/>
  <c r="L735" i="2" s="1"/>
  <c r="G734" i="2"/>
  <c r="L734" i="2" s="1"/>
  <c r="G733" i="2"/>
  <c r="K733" i="2" s="1"/>
  <c r="G732" i="2"/>
  <c r="L732" i="2" s="1"/>
  <c r="G731" i="2"/>
  <c r="L731" i="2" s="1"/>
  <c r="G730" i="2"/>
  <c r="L730" i="2" s="1"/>
  <c r="G729" i="2"/>
  <c r="L729" i="2" s="1"/>
  <c r="G728" i="2"/>
  <c r="G727" i="2"/>
  <c r="L727" i="2" s="1"/>
  <c r="G726" i="2"/>
  <c r="L726" i="2" s="1"/>
  <c r="G725" i="2"/>
  <c r="G724" i="2"/>
  <c r="L724" i="2" s="1"/>
  <c r="G723" i="2"/>
  <c r="L723" i="2" s="1"/>
  <c r="G722" i="2"/>
  <c r="L722" i="2" s="1"/>
  <c r="G721" i="2"/>
  <c r="L721" i="2" s="1"/>
  <c r="G720" i="2"/>
  <c r="G719" i="2"/>
  <c r="L719" i="2" s="1"/>
  <c r="G718" i="2"/>
  <c r="L718" i="2" s="1"/>
  <c r="G717" i="2"/>
  <c r="G716" i="2"/>
  <c r="L716" i="2" s="1"/>
  <c r="G715" i="2"/>
  <c r="L715" i="2" s="1"/>
  <c r="G714" i="2"/>
  <c r="L714" i="2" s="1"/>
  <c r="G713" i="2"/>
  <c r="L713" i="2" s="1"/>
  <c r="G712" i="2"/>
  <c r="G711" i="2"/>
  <c r="L711" i="2" s="1"/>
  <c r="G710" i="2"/>
  <c r="L710" i="2" s="1"/>
  <c r="G709" i="2"/>
  <c r="G708" i="2"/>
  <c r="L708" i="2" s="1"/>
  <c r="G707" i="2"/>
  <c r="L707" i="2" s="1"/>
  <c r="G706" i="2"/>
  <c r="K706" i="2" s="1"/>
  <c r="G705" i="2"/>
  <c r="L705" i="2" s="1"/>
  <c r="G704" i="2"/>
  <c r="G703" i="2"/>
  <c r="K703" i="2" s="1"/>
  <c r="G702" i="2"/>
  <c r="L702" i="2" s="1"/>
  <c r="G701" i="2"/>
  <c r="G700" i="2"/>
  <c r="L700" i="2" s="1"/>
  <c r="G699" i="2"/>
  <c r="L699" i="2" s="1"/>
  <c r="G698" i="2"/>
  <c r="L698" i="2" s="1"/>
  <c r="G697" i="2"/>
  <c r="L697" i="2" s="1"/>
  <c r="G696" i="2"/>
  <c r="G695" i="2"/>
  <c r="L695" i="2" s="1"/>
  <c r="G694" i="2"/>
  <c r="L694" i="2" s="1"/>
  <c r="G693" i="2"/>
  <c r="G692" i="2"/>
  <c r="L692" i="2" s="1"/>
  <c r="G691" i="2"/>
  <c r="L691" i="2" s="1"/>
  <c r="G690" i="2"/>
  <c r="L690" i="2" s="1"/>
  <c r="G689" i="2"/>
  <c r="L689" i="2" s="1"/>
  <c r="G688" i="2"/>
  <c r="G687" i="2"/>
  <c r="L687" i="2" s="1"/>
  <c r="G686" i="2"/>
  <c r="L686" i="2" s="1"/>
  <c r="G685" i="2"/>
  <c r="K685" i="2" s="1"/>
  <c r="G684" i="2"/>
  <c r="L684" i="2" s="1"/>
  <c r="G683" i="2"/>
  <c r="L683" i="2" s="1"/>
  <c r="G682" i="2"/>
  <c r="L682" i="2" s="1"/>
  <c r="G681" i="2"/>
  <c r="G680" i="2"/>
  <c r="G679" i="2"/>
  <c r="L679" i="2" s="1"/>
  <c r="G678" i="2"/>
  <c r="L678" i="2" s="1"/>
  <c r="G677" i="2"/>
  <c r="G676" i="2"/>
  <c r="L676" i="2" s="1"/>
  <c r="G675" i="2"/>
  <c r="L675" i="2" s="1"/>
  <c r="G674" i="2"/>
  <c r="L674" i="2" s="1"/>
  <c r="G673" i="2"/>
  <c r="G672" i="2"/>
  <c r="G671" i="2"/>
  <c r="L671" i="2" s="1"/>
  <c r="G670" i="2"/>
  <c r="L670" i="2" s="1"/>
  <c r="G669" i="2"/>
  <c r="G668" i="2"/>
  <c r="L668" i="2" s="1"/>
  <c r="G667" i="2"/>
  <c r="L667" i="2" s="1"/>
  <c r="G666" i="2"/>
  <c r="L666" i="2" s="1"/>
  <c r="G665" i="2"/>
  <c r="G664" i="2"/>
  <c r="G663" i="2"/>
  <c r="L663" i="2" s="1"/>
  <c r="G662" i="2"/>
  <c r="L662" i="2" s="1"/>
  <c r="G661" i="2"/>
  <c r="G660" i="2"/>
  <c r="L660" i="2" s="1"/>
  <c r="G659" i="2"/>
  <c r="L659" i="2" s="1"/>
  <c r="G658" i="2"/>
  <c r="L658" i="2" s="1"/>
  <c r="G657" i="2"/>
  <c r="G656" i="2"/>
  <c r="G655" i="2"/>
  <c r="L655" i="2" s="1"/>
  <c r="G654" i="2"/>
  <c r="L654" i="2" s="1"/>
  <c r="G653" i="2"/>
  <c r="G652" i="2"/>
  <c r="L652" i="2" s="1"/>
  <c r="G651" i="2"/>
  <c r="L651" i="2" s="1"/>
  <c r="G650" i="2"/>
  <c r="K650" i="2" s="1"/>
  <c r="G649" i="2"/>
  <c r="G648" i="2"/>
  <c r="G647" i="2"/>
  <c r="L647" i="2" s="1"/>
  <c r="G646" i="2"/>
  <c r="L646" i="2" s="1"/>
  <c r="G645" i="2"/>
  <c r="K645" i="2" s="1"/>
  <c r="G644" i="2"/>
  <c r="L644" i="2" s="1"/>
  <c r="G643" i="2"/>
  <c r="L643" i="2" s="1"/>
  <c r="G642" i="2"/>
  <c r="L642" i="2" s="1"/>
  <c r="G641" i="2"/>
  <c r="G640" i="2"/>
  <c r="G639" i="2"/>
  <c r="G638" i="2"/>
  <c r="L638" i="2" s="1"/>
  <c r="G637" i="2"/>
  <c r="G636" i="2"/>
  <c r="L636" i="2" s="1"/>
  <c r="G635" i="2"/>
  <c r="L635" i="2" s="1"/>
  <c r="G634" i="2"/>
  <c r="L634" i="2" s="1"/>
  <c r="G633" i="2"/>
  <c r="G632" i="2"/>
  <c r="G631" i="2"/>
  <c r="G630" i="2"/>
  <c r="G629" i="2"/>
  <c r="G628" i="2"/>
  <c r="L628" i="2" s="1"/>
  <c r="G627" i="2"/>
  <c r="L627" i="2" s="1"/>
  <c r="G626" i="2"/>
  <c r="L626" i="2" s="1"/>
  <c r="G625" i="2"/>
  <c r="G624" i="2"/>
  <c r="G623" i="2"/>
  <c r="G622" i="2"/>
  <c r="K622" i="2" s="1"/>
  <c r="G621" i="2"/>
  <c r="G620" i="2"/>
  <c r="L620" i="2" s="1"/>
  <c r="G619" i="2"/>
  <c r="L619" i="2" s="1"/>
  <c r="G618" i="2"/>
  <c r="K618" i="2" s="1"/>
  <c r="G617" i="2"/>
  <c r="G616" i="2"/>
  <c r="G615" i="2"/>
  <c r="G614" i="2"/>
  <c r="G613" i="2"/>
  <c r="G612" i="2"/>
  <c r="L612" i="2" s="1"/>
  <c r="G611" i="2"/>
  <c r="L611" i="2" s="1"/>
  <c r="G610" i="2"/>
  <c r="L610" i="2" s="1"/>
  <c r="G609" i="2"/>
  <c r="G608" i="2"/>
  <c r="G607" i="2"/>
  <c r="K607" i="2" s="1"/>
  <c r="G606" i="2"/>
  <c r="G605" i="2"/>
  <c r="G604" i="2"/>
  <c r="L604" i="2" s="1"/>
  <c r="G603" i="2"/>
  <c r="L603" i="2" s="1"/>
  <c r="G602" i="2"/>
  <c r="L602" i="2" s="1"/>
  <c r="G601" i="2"/>
  <c r="G600" i="2"/>
  <c r="G599" i="2"/>
  <c r="G598" i="2"/>
  <c r="G597" i="2"/>
  <c r="G596" i="2"/>
  <c r="L596" i="2" s="1"/>
  <c r="G595" i="2"/>
  <c r="L595" i="2" s="1"/>
  <c r="G594" i="2"/>
  <c r="L594" i="2" s="1"/>
  <c r="G593" i="2"/>
  <c r="G592" i="2"/>
  <c r="G591" i="2"/>
  <c r="G590" i="2"/>
  <c r="G589" i="2"/>
  <c r="G588" i="2"/>
  <c r="L588" i="2" s="1"/>
  <c r="G587" i="2"/>
  <c r="L587" i="2" s="1"/>
  <c r="G586" i="2"/>
  <c r="L586" i="2" s="1"/>
  <c r="G585" i="2"/>
  <c r="G584" i="2"/>
  <c r="G583" i="2"/>
  <c r="G582" i="2"/>
  <c r="K582" i="2" s="1"/>
  <c r="G581" i="2"/>
  <c r="K581" i="2" s="1"/>
  <c r="G580" i="2"/>
  <c r="L580" i="2" s="1"/>
  <c r="G579" i="2"/>
  <c r="L579" i="2" s="1"/>
  <c r="G578" i="2"/>
  <c r="L578" i="2" s="1"/>
  <c r="G577" i="2"/>
  <c r="G576" i="2"/>
  <c r="G575" i="2"/>
  <c r="G574" i="2"/>
  <c r="G573" i="2"/>
  <c r="G572" i="2"/>
  <c r="L572" i="2" s="1"/>
  <c r="G571" i="2"/>
  <c r="L571" i="2" s="1"/>
  <c r="G570" i="2"/>
  <c r="L570" i="2" s="1"/>
  <c r="G569" i="2"/>
  <c r="G568" i="2"/>
  <c r="G567" i="2"/>
  <c r="G566" i="2"/>
  <c r="G565" i="2"/>
  <c r="G564" i="2"/>
  <c r="L564" i="2" s="1"/>
  <c r="G563" i="2"/>
  <c r="L563" i="2" s="1"/>
  <c r="G562" i="2"/>
  <c r="L562" i="2" s="1"/>
  <c r="G561" i="2"/>
  <c r="G560" i="2"/>
  <c r="G559" i="2"/>
  <c r="G558" i="2"/>
  <c r="G557" i="2"/>
  <c r="G556" i="2"/>
  <c r="L556" i="2" s="1"/>
  <c r="G555" i="2"/>
  <c r="L555" i="2" s="1"/>
  <c r="G554" i="2"/>
  <c r="L554" i="2" s="1"/>
  <c r="G553" i="2"/>
  <c r="G552" i="2"/>
  <c r="G551" i="2"/>
  <c r="G550" i="2"/>
  <c r="G549" i="2"/>
  <c r="G548" i="2"/>
  <c r="L548" i="2" s="1"/>
  <c r="G547" i="2"/>
  <c r="L547" i="2" s="1"/>
  <c r="G546" i="2"/>
  <c r="L546" i="2" s="1"/>
  <c r="G545" i="2"/>
  <c r="G544" i="2"/>
  <c r="G543" i="2"/>
  <c r="K543" i="2" s="1"/>
  <c r="G542" i="2"/>
  <c r="G541" i="2"/>
  <c r="G540" i="2"/>
  <c r="K540" i="2" s="1"/>
  <c r="G539" i="2"/>
  <c r="L539" i="2" s="1"/>
  <c r="G538" i="2"/>
  <c r="L538" i="2" s="1"/>
  <c r="G537" i="2"/>
  <c r="G536" i="2"/>
  <c r="G535" i="2"/>
  <c r="G534" i="2"/>
  <c r="G533" i="2"/>
  <c r="G532" i="2"/>
  <c r="L532" i="2" s="1"/>
  <c r="G531" i="2"/>
  <c r="L531" i="2" s="1"/>
  <c r="G530" i="2"/>
  <c r="L530" i="2" s="1"/>
  <c r="G529" i="2"/>
  <c r="G528" i="2"/>
  <c r="G527" i="2"/>
  <c r="G526" i="2"/>
  <c r="G525" i="2"/>
  <c r="G524" i="2"/>
  <c r="L524" i="2" s="1"/>
  <c r="G523" i="2"/>
  <c r="L523" i="2" s="1"/>
  <c r="G522" i="2"/>
  <c r="L522" i="2" s="1"/>
  <c r="G521" i="2"/>
  <c r="G520" i="2"/>
  <c r="G519" i="2"/>
  <c r="G518" i="2"/>
  <c r="G517" i="2"/>
  <c r="K517" i="2" s="1"/>
  <c r="G516" i="2"/>
  <c r="K516" i="2" s="1"/>
  <c r="G515" i="2"/>
  <c r="L515" i="2" s="1"/>
  <c r="G514" i="2"/>
  <c r="L514" i="2" s="1"/>
  <c r="G513" i="2"/>
  <c r="G512" i="2"/>
  <c r="G511" i="2"/>
  <c r="K511" i="2" s="1"/>
  <c r="G510" i="2"/>
  <c r="G509" i="2"/>
  <c r="G508" i="2"/>
  <c r="L508" i="2" s="1"/>
  <c r="G507" i="2"/>
  <c r="L507" i="2" s="1"/>
  <c r="G506" i="2"/>
  <c r="L506" i="2" s="1"/>
  <c r="G505" i="2"/>
  <c r="G504" i="2"/>
  <c r="G503" i="2"/>
  <c r="G502" i="2"/>
  <c r="G501" i="2"/>
  <c r="G500" i="2"/>
  <c r="L500" i="2" s="1"/>
  <c r="G499" i="2"/>
  <c r="L499" i="2" s="1"/>
  <c r="G498" i="2"/>
  <c r="L498" i="2" s="1"/>
  <c r="G497" i="2"/>
  <c r="G496" i="2"/>
  <c r="G495" i="2"/>
  <c r="G494" i="2"/>
  <c r="G493" i="2"/>
  <c r="G492" i="2"/>
  <c r="L492" i="2" s="1"/>
  <c r="G491" i="2"/>
  <c r="L491" i="2" s="1"/>
  <c r="G490" i="2"/>
  <c r="L490" i="2" s="1"/>
  <c r="G489" i="2"/>
  <c r="G488" i="2"/>
  <c r="G487" i="2"/>
  <c r="G486" i="2"/>
  <c r="G485" i="2"/>
  <c r="G484" i="2"/>
  <c r="L484" i="2" s="1"/>
  <c r="G483" i="2"/>
  <c r="L483" i="2" s="1"/>
  <c r="G482" i="2"/>
  <c r="L482" i="2" s="1"/>
  <c r="G481" i="2"/>
  <c r="G480" i="2"/>
  <c r="G479" i="2"/>
  <c r="K479" i="2" s="1"/>
  <c r="G478" i="2"/>
  <c r="G477" i="2"/>
  <c r="G476" i="2"/>
  <c r="L476" i="2" s="1"/>
  <c r="G475" i="2"/>
  <c r="L475" i="2" s="1"/>
  <c r="G474" i="2"/>
  <c r="L474" i="2" s="1"/>
  <c r="G473" i="2"/>
  <c r="G472" i="2"/>
  <c r="G471" i="2"/>
  <c r="G470" i="2"/>
  <c r="G469" i="2"/>
  <c r="G468" i="2"/>
  <c r="L468" i="2" s="1"/>
  <c r="G467" i="2"/>
  <c r="L467" i="2" s="1"/>
  <c r="G466" i="2"/>
  <c r="L466" i="2" s="1"/>
  <c r="G465" i="2"/>
  <c r="G464" i="2"/>
  <c r="G463" i="2"/>
  <c r="G462" i="2"/>
  <c r="G461" i="2"/>
  <c r="G460" i="2"/>
  <c r="L460" i="2" s="1"/>
  <c r="G459" i="2"/>
  <c r="L459" i="2" s="1"/>
  <c r="G458" i="2"/>
  <c r="L458" i="2" s="1"/>
  <c r="G457" i="2"/>
  <c r="G456" i="2"/>
  <c r="G455" i="2"/>
  <c r="G454" i="2"/>
  <c r="G453" i="2"/>
  <c r="G452" i="2"/>
  <c r="L452" i="2" s="1"/>
  <c r="G451" i="2"/>
  <c r="L451" i="2" s="1"/>
  <c r="G450" i="2"/>
  <c r="L450" i="2" s="1"/>
  <c r="G449" i="2"/>
  <c r="G448" i="2"/>
  <c r="G447" i="2"/>
  <c r="K447" i="2" s="1"/>
  <c r="G446" i="2"/>
  <c r="G445" i="2"/>
  <c r="G444" i="2"/>
  <c r="L444" i="2" s="1"/>
  <c r="G443" i="2"/>
  <c r="L443" i="2" s="1"/>
  <c r="G442" i="2"/>
  <c r="L442" i="2" s="1"/>
  <c r="G441" i="2"/>
  <c r="G440" i="2"/>
  <c r="G439" i="2"/>
  <c r="G438" i="2"/>
  <c r="G437" i="2"/>
  <c r="K437" i="2" s="1"/>
  <c r="G436" i="2"/>
  <c r="L436" i="2" s="1"/>
  <c r="G435" i="2"/>
  <c r="L435" i="2" s="1"/>
  <c r="G434" i="2"/>
  <c r="L434" i="2" s="1"/>
  <c r="G433" i="2"/>
  <c r="G432" i="2"/>
  <c r="G431" i="2"/>
  <c r="G430" i="2"/>
  <c r="G429" i="2"/>
  <c r="G428" i="2"/>
  <c r="L428" i="2" s="1"/>
  <c r="G427" i="2"/>
  <c r="L427" i="2" s="1"/>
  <c r="G426" i="2"/>
  <c r="L426" i="2" s="1"/>
  <c r="G425" i="2"/>
  <c r="G424" i="2"/>
  <c r="G423" i="2"/>
  <c r="G422" i="2"/>
  <c r="G421" i="2"/>
  <c r="G420" i="2"/>
  <c r="L420" i="2" s="1"/>
  <c r="G419" i="2"/>
  <c r="L419" i="2" s="1"/>
  <c r="G418" i="2"/>
  <c r="L418" i="2" s="1"/>
  <c r="G417" i="2"/>
  <c r="G416" i="2"/>
  <c r="G415" i="2"/>
  <c r="G414" i="2"/>
  <c r="G413" i="2"/>
  <c r="G412" i="2"/>
  <c r="L412" i="2" s="1"/>
  <c r="G411" i="2"/>
  <c r="L411" i="2" s="1"/>
  <c r="G410" i="2"/>
  <c r="K410" i="2" s="1"/>
  <c r="G409" i="2"/>
  <c r="G408" i="2"/>
  <c r="K408" i="2" s="1"/>
  <c r="G407" i="2"/>
  <c r="G406" i="2"/>
  <c r="G405" i="2"/>
  <c r="G404" i="2"/>
  <c r="L404" i="2" s="1"/>
  <c r="G403" i="2"/>
  <c r="L403" i="2" s="1"/>
  <c r="G402" i="2"/>
  <c r="L402" i="2" s="1"/>
  <c r="G401" i="2"/>
  <c r="G400" i="2"/>
  <c r="G399" i="2"/>
  <c r="G398" i="2"/>
  <c r="G397" i="2"/>
  <c r="G396" i="2"/>
  <c r="L396" i="2" s="1"/>
  <c r="G395" i="2"/>
  <c r="L395" i="2" s="1"/>
  <c r="G394" i="2"/>
  <c r="L394" i="2" s="1"/>
  <c r="G393" i="2"/>
  <c r="G392" i="2"/>
  <c r="G391" i="2"/>
  <c r="G390" i="2"/>
  <c r="G389" i="2"/>
  <c r="G388" i="2"/>
  <c r="G387" i="2"/>
  <c r="L387" i="2" s="1"/>
  <c r="G386" i="2"/>
  <c r="L386" i="2" s="1"/>
  <c r="G385" i="2"/>
  <c r="L385" i="2" s="1"/>
  <c r="G384" i="2"/>
  <c r="G383" i="2"/>
  <c r="K383" i="2" s="1"/>
  <c r="G382" i="2"/>
  <c r="G381" i="2"/>
  <c r="G380" i="2"/>
  <c r="G379" i="2"/>
  <c r="G378" i="2"/>
  <c r="G377" i="2"/>
  <c r="L377" i="2" s="1"/>
  <c r="G376" i="2"/>
  <c r="L376" i="2" s="1"/>
  <c r="G375" i="2"/>
  <c r="G374" i="2"/>
  <c r="G373" i="2"/>
  <c r="L373" i="2" s="1"/>
  <c r="G372" i="2"/>
  <c r="G371" i="2"/>
  <c r="G370" i="2"/>
  <c r="G369" i="2"/>
  <c r="G368" i="2"/>
  <c r="K368" i="2" s="1"/>
  <c r="G367" i="2"/>
  <c r="G366" i="2"/>
  <c r="G365" i="2"/>
  <c r="L365" i="2" s="1"/>
  <c r="G364" i="2"/>
  <c r="L364" i="2" s="1"/>
  <c r="G363" i="2"/>
  <c r="L363" i="2" s="1"/>
  <c r="G362" i="2"/>
  <c r="G361" i="2"/>
  <c r="G360" i="2"/>
  <c r="G359" i="2"/>
  <c r="G358" i="2"/>
  <c r="G357" i="2"/>
  <c r="G356" i="2"/>
  <c r="G355" i="2"/>
  <c r="L355" i="2" s="1"/>
  <c r="G354" i="2"/>
  <c r="L354" i="2" s="1"/>
  <c r="G353" i="2"/>
  <c r="L353" i="2" s="1"/>
  <c r="G352" i="2"/>
  <c r="G351" i="2"/>
  <c r="G350" i="2"/>
  <c r="G349" i="2"/>
  <c r="G348" i="2"/>
  <c r="G347" i="2"/>
  <c r="G346" i="2"/>
  <c r="K346" i="2" s="1"/>
  <c r="G345" i="2"/>
  <c r="L345" i="2" s="1"/>
  <c r="G344" i="2"/>
  <c r="L344" i="2" s="1"/>
  <c r="G343" i="2"/>
  <c r="G342" i="2"/>
  <c r="G341" i="2"/>
  <c r="L341" i="2" s="1"/>
  <c r="G340" i="2"/>
  <c r="G339" i="2"/>
  <c r="G338" i="2"/>
  <c r="G337" i="2"/>
  <c r="G336" i="2"/>
  <c r="G335" i="2"/>
  <c r="G334" i="2"/>
  <c r="G333" i="2"/>
  <c r="L333" i="2" s="1"/>
  <c r="G332" i="2"/>
  <c r="L332" i="2" s="1"/>
  <c r="G331" i="2"/>
  <c r="L331" i="2" s="1"/>
  <c r="G330" i="2"/>
  <c r="G329" i="2"/>
  <c r="G328" i="2"/>
  <c r="G327" i="2"/>
  <c r="G326" i="2"/>
  <c r="G325" i="2"/>
  <c r="G324" i="2"/>
  <c r="G323" i="2"/>
  <c r="L323" i="2" s="1"/>
  <c r="G322" i="2"/>
  <c r="L322" i="2" s="1"/>
  <c r="G321" i="2"/>
  <c r="L321" i="2" s="1"/>
  <c r="G320" i="2"/>
  <c r="G319" i="2"/>
  <c r="G318" i="2"/>
  <c r="G317" i="2"/>
  <c r="G316" i="2"/>
  <c r="G315" i="2"/>
  <c r="G314" i="2"/>
  <c r="G313" i="2"/>
  <c r="L313" i="2" s="1"/>
  <c r="G312" i="2"/>
  <c r="L312" i="2" s="1"/>
  <c r="G311" i="2"/>
  <c r="G310" i="2"/>
  <c r="G309" i="2"/>
  <c r="L309" i="2" s="1"/>
  <c r="G308" i="2"/>
  <c r="G307" i="2"/>
  <c r="G306" i="2"/>
  <c r="G305" i="2"/>
  <c r="G304" i="2"/>
  <c r="K304" i="2" s="1"/>
  <c r="G303" i="2"/>
  <c r="K303" i="2" s="1"/>
  <c r="G302" i="2"/>
  <c r="G301" i="2"/>
  <c r="L301" i="2" s="1"/>
  <c r="G300" i="2"/>
  <c r="L300" i="2" s="1"/>
  <c r="G299" i="2"/>
  <c r="L299" i="2" s="1"/>
  <c r="G298" i="2"/>
  <c r="G297" i="2"/>
  <c r="G296" i="2"/>
  <c r="G295" i="2"/>
  <c r="G294" i="2"/>
  <c r="G293" i="2"/>
  <c r="G292" i="2"/>
  <c r="G291" i="2"/>
  <c r="L291" i="2" s="1"/>
  <c r="G290" i="2"/>
  <c r="L290" i="2" s="1"/>
  <c r="G289" i="2"/>
  <c r="L289" i="2" s="1"/>
  <c r="G288" i="2"/>
  <c r="G287" i="2"/>
  <c r="G286" i="2"/>
  <c r="G285" i="2"/>
  <c r="G284" i="2"/>
  <c r="G283" i="2"/>
  <c r="G282" i="2"/>
  <c r="G281" i="2"/>
  <c r="G280" i="2"/>
  <c r="K280" i="2" s="1"/>
  <c r="G279" i="2"/>
  <c r="G278" i="2"/>
  <c r="G277" i="2"/>
  <c r="L277" i="2" s="1"/>
  <c r="G276" i="2"/>
  <c r="L276" i="2" s="1"/>
  <c r="G275" i="2"/>
  <c r="L275" i="2" s="1"/>
  <c r="G274" i="2"/>
  <c r="G273" i="2"/>
  <c r="G272" i="2"/>
  <c r="G271" i="2"/>
  <c r="G270" i="2"/>
  <c r="G269" i="2"/>
  <c r="G268" i="2"/>
  <c r="G267" i="2"/>
  <c r="G266" i="2"/>
  <c r="K266" i="2" s="1"/>
  <c r="G265" i="2"/>
  <c r="L265" i="2" s="1"/>
  <c r="G264" i="2"/>
  <c r="G263" i="2"/>
  <c r="G262" i="2"/>
  <c r="G261" i="2"/>
  <c r="L261" i="2" s="1"/>
  <c r="G260" i="2"/>
  <c r="G259" i="2"/>
  <c r="G258" i="2"/>
  <c r="G257" i="2"/>
  <c r="G256" i="2"/>
  <c r="G255" i="2"/>
  <c r="G254" i="2"/>
  <c r="G253" i="2"/>
  <c r="G252" i="2"/>
  <c r="L252" i="2" s="1"/>
  <c r="G251" i="2"/>
  <c r="L251" i="2" s="1"/>
  <c r="G250" i="2"/>
  <c r="L250" i="2" s="1"/>
  <c r="G249" i="2"/>
  <c r="G248" i="2"/>
  <c r="G247" i="2"/>
  <c r="G246" i="2"/>
  <c r="G245" i="2"/>
  <c r="G244" i="2"/>
  <c r="G243" i="2"/>
  <c r="G242" i="2"/>
  <c r="G241" i="2"/>
  <c r="L241" i="2" s="1"/>
  <c r="G240" i="2"/>
  <c r="K240" i="2" s="1"/>
  <c r="G239" i="2"/>
  <c r="K239" i="2" s="1"/>
  <c r="G238" i="2"/>
  <c r="K238" i="2" s="1"/>
  <c r="G237" i="2"/>
  <c r="L237" i="2" s="1"/>
  <c r="G236" i="2"/>
  <c r="L236" i="2" s="1"/>
  <c r="G235" i="2"/>
  <c r="G234" i="2"/>
  <c r="G233" i="2"/>
  <c r="G232" i="2"/>
  <c r="G231" i="2"/>
  <c r="G230" i="2"/>
  <c r="G229" i="2"/>
  <c r="G228" i="2"/>
  <c r="G227" i="2"/>
  <c r="L227" i="2" s="1"/>
  <c r="G226" i="2"/>
  <c r="L226" i="2" s="1"/>
  <c r="G225" i="2"/>
  <c r="L225" i="2" s="1"/>
  <c r="G224" i="2"/>
  <c r="G223" i="2"/>
  <c r="G222" i="2"/>
  <c r="G221" i="2"/>
  <c r="G220" i="2"/>
  <c r="G219" i="2"/>
  <c r="G218" i="2"/>
  <c r="G217" i="2"/>
  <c r="G216" i="2"/>
  <c r="G215" i="2"/>
  <c r="G214" i="2"/>
  <c r="G213" i="2"/>
  <c r="L213" i="2" s="1"/>
  <c r="G212" i="2"/>
  <c r="L212" i="2" s="1"/>
  <c r="G211" i="2"/>
  <c r="L211" i="2" s="1"/>
  <c r="G210" i="2"/>
  <c r="G209" i="2"/>
  <c r="G208" i="2"/>
  <c r="G207" i="2"/>
  <c r="G206" i="2"/>
  <c r="G205" i="2"/>
  <c r="G204" i="2"/>
  <c r="G203" i="2"/>
  <c r="G202" i="2"/>
  <c r="L202" i="2" s="1"/>
  <c r="G201" i="2"/>
  <c r="L201" i="2" s="1"/>
  <c r="G200" i="2"/>
  <c r="G199" i="2"/>
  <c r="G198" i="2"/>
  <c r="G197" i="2"/>
  <c r="L197" i="2" s="1"/>
  <c r="G196" i="2"/>
  <c r="G195" i="2"/>
  <c r="G194" i="2"/>
  <c r="G193" i="2"/>
  <c r="G192" i="2"/>
  <c r="G191" i="2"/>
  <c r="G190" i="2"/>
  <c r="G189" i="2"/>
  <c r="G188" i="2"/>
  <c r="L188" i="2" s="1"/>
  <c r="G187" i="2"/>
  <c r="L187" i="2" s="1"/>
  <c r="G186" i="2"/>
  <c r="L186" i="2" s="1"/>
  <c r="G185" i="2"/>
  <c r="G184" i="2"/>
  <c r="G183" i="2"/>
  <c r="G182" i="2"/>
  <c r="G181" i="2"/>
  <c r="G180" i="2"/>
  <c r="G179" i="2"/>
  <c r="G178" i="2"/>
  <c r="G177" i="2"/>
  <c r="L177" i="2" s="1"/>
  <c r="G176" i="2"/>
  <c r="G175" i="2"/>
  <c r="K175" i="2" s="1"/>
  <c r="G174" i="2"/>
  <c r="K174" i="2" s="1"/>
  <c r="G173" i="2"/>
  <c r="L173" i="2" s="1"/>
  <c r="G172" i="2"/>
  <c r="L172" i="2" s="1"/>
  <c r="G171" i="2"/>
  <c r="G170" i="2"/>
  <c r="G169" i="2"/>
  <c r="G168" i="2"/>
  <c r="G167" i="2"/>
  <c r="G166" i="2"/>
  <c r="G165" i="2"/>
  <c r="G164" i="2"/>
  <c r="G163" i="2"/>
  <c r="L163" i="2" s="1"/>
  <c r="G162" i="2"/>
  <c r="L162" i="2" s="1"/>
  <c r="G161" i="2"/>
  <c r="L161" i="2" s="1"/>
  <c r="G160" i="2"/>
  <c r="G159" i="2"/>
  <c r="G158" i="2"/>
  <c r="G157" i="2"/>
  <c r="G156" i="2"/>
  <c r="G155" i="2"/>
  <c r="G154" i="2"/>
  <c r="G153" i="2"/>
  <c r="G152" i="2"/>
  <c r="G151" i="2"/>
  <c r="G150" i="2"/>
  <c r="G149" i="2"/>
  <c r="L149" i="2" s="1"/>
  <c r="G148" i="2"/>
  <c r="L148" i="2" s="1"/>
  <c r="G147" i="2"/>
  <c r="L147" i="2" s="1"/>
  <c r="G146" i="2"/>
  <c r="G145" i="2"/>
  <c r="G144" i="2"/>
  <c r="G143" i="2"/>
  <c r="G142" i="2"/>
  <c r="G141" i="2"/>
  <c r="G140" i="2"/>
  <c r="G139" i="2"/>
  <c r="G138" i="2"/>
  <c r="K138" i="2" s="1"/>
  <c r="G137" i="2"/>
  <c r="L137" i="2" s="1"/>
  <c r="G136" i="2"/>
  <c r="G135" i="2"/>
  <c r="G134" i="2"/>
  <c r="K134" i="2" s="1"/>
  <c r="G133" i="2"/>
  <c r="L133" i="2" s="1"/>
  <c r="G132" i="2"/>
  <c r="G131" i="2"/>
  <c r="G130" i="2"/>
  <c r="G129" i="2"/>
  <c r="G128" i="2"/>
  <c r="G127" i="2"/>
  <c r="G126" i="2"/>
  <c r="G125" i="2"/>
  <c r="G124" i="2"/>
  <c r="L124" i="2" s="1"/>
  <c r="G123" i="2"/>
  <c r="L123" i="2" s="1"/>
  <c r="G122" i="2"/>
  <c r="L122" i="2" s="1"/>
  <c r="G121" i="2"/>
  <c r="G120" i="2"/>
  <c r="G119" i="2"/>
  <c r="G118" i="2"/>
  <c r="G117" i="2"/>
  <c r="G116" i="2"/>
  <c r="G115" i="2"/>
  <c r="G114" i="2"/>
  <c r="G113" i="2"/>
  <c r="L113" i="2" s="1"/>
  <c r="G112" i="2"/>
  <c r="G111" i="2"/>
  <c r="G110" i="2"/>
  <c r="K110" i="2" s="1"/>
  <c r="G109" i="2"/>
  <c r="L109" i="2" s="1"/>
  <c r="G108" i="2"/>
  <c r="L108" i="2" s="1"/>
  <c r="G107" i="2"/>
  <c r="G106" i="2"/>
  <c r="K106" i="2" s="1"/>
  <c r="G105" i="2"/>
  <c r="G104" i="2"/>
  <c r="G103" i="2"/>
  <c r="G102" i="2"/>
  <c r="G101" i="2"/>
  <c r="G100" i="2"/>
  <c r="G99" i="2"/>
  <c r="L99" i="2" s="1"/>
  <c r="G98" i="2"/>
  <c r="L98" i="2" s="1"/>
  <c r="G97" i="2"/>
  <c r="L97" i="2" s="1"/>
  <c r="G96" i="2"/>
  <c r="G95" i="2"/>
  <c r="G94" i="2"/>
  <c r="G93" i="2"/>
  <c r="G92" i="2"/>
  <c r="G91" i="2"/>
  <c r="G90" i="2"/>
  <c r="G89" i="2"/>
  <c r="G88" i="2"/>
  <c r="G87" i="2"/>
  <c r="G86" i="2"/>
  <c r="G85" i="2"/>
  <c r="L85" i="2" s="1"/>
  <c r="G84" i="2"/>
  <c r="L84" i="2" s="1"/>
  <c r="G83" i="2"/>
  <c r="L83" i="2" s="1"/>
  <c r="G82" i="2"/>
  <c r="G81" i="2"/>
  <c r="G80" i="2"/>
  <c r="G79" i="2"/>
  <c r="G78" i="2"/>
  <c r="G77" i="2"/>
  <c r="G76" i="2"/>
  <c r="G75" i="2"/>
  <c r="G74" i="2"/>
  <c r="L74" i="2" s="1"/>
  <c r="G73" i="2"/>
  <c r="L73" i="2" s="1"/>
  <c r="G72" i="2"/>
  <c r="G71" i="2"/>
  <c r="G70" i="2"/>
  <c r="K70" i="2" s="1"/>
  <c r="G69" i="2"/>
  <c r="K69" i="2" s="1"/>
  <c r="G68" i="2"/>
  <c r="L68" i="2" s="1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L54" i="2" s="1"/>
  <c r="G53" i="2"/>
  <c r="L53" i="2" s="1"/>
  <c r="G52" i="2"/>
  <c r="L52" i="2" s="1"/>
  <c r="G51" i="2"/>
  <c r="G50" i="2"/>
  <c r="G49" i="2"/>
  <c r="G48" i="2"/>
  <c r="G47" i="2"/>
  <c r="G46" i="2"/>
  <c r="G45" i="2"/>
  <c r="G44" i="2"/>
  <c r="G43" i="2"/>
  <c r="G42" i="2"/>
  <c r="K42" i="2" s="1"/>
  <c r="G41" i="2"/>
  <c r="G40" i="2"/>
  <c r="G39" i="2"/>
  <c r="G38" i="2"/>
  <c r="G37" i="2"/>
  <c r="L37" i="2" s="1"/>
  <c r="G36" i="2"/>
  <c r="G35" i="2"/>
  <c r="G34" i="2"/>
  <c r="G33" i="2"/>
  <c r="G32" i="2"/>
  <c r="G31" i="2"/>
  <c r="K31" i="2" s="1"/>
  <c r="G30" i="2"/>
  <c r="L30" i="2" s="1"/>
  <c r="G29" i="2"/>
  <c r="L29" i="2" s="1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L14" i="2" s="1"/>
  <c r="G13" i="2"/>
  <c r="L13" i="2" s="1"/>
  <c r="G12" i="2"/>
  <c r="L12" i="2" s="1"/>
  <c r="G11" i="2"/>
  <c r="G10" i="2"/>
  <c r="G9" i="2"/>
  <c r="G8" i="2"/>
  <c r="G7" i="2"/>
  <c r="G6" i="2"/>
  <c r="G5" i="2"/>
  <c r="G4" i="2"/>
  <c r="G3" i="2"/>
  <c r="G2" i="2"/>
  <c r="K790" i="2" l="1"/>
  <c r="K787" i="2"/>
  <c r="K786" i="2"/>
  <c r="K785" i="2"/>
  <c r="K778" i="2"/>
  <c r="K753" i="2"/>
  <c r="K721" i="2"/>
  <c r="K689" i="2"/>
  <c r="K15" i="2"/>
  <c r="L15" i="2"/>
  <c r="K63" i="2"/>
  <c r="L63" i="2"/>
  <c r="K95" i="2"/>
  <c r="L95" i="2"/>
  <c r="L143" i="2"/>
  <c r="K143" i="2"/>
  <c r="K24" i="2"/>
  <c r="L24" i="2"/>
  <c r="L72" i="2"/>
  <c r="K72" i="2"/>
  <c r="K112" i="2"/>
  <c r="L112" i="2"/>
  <c r="L160" i="2"/>
  <c r="K160" i="2"/>
  <c r="L208" i="2"/>
  <c r="K208" i="2"/>
  <c r="L248" i="2"/>
  <c r="K248" i="2"/>
  <c r="L296" i="2"/>
  <c r="K296" i="2"/>
  <c r="L328" i="2"/>
  <c r="K328" i="2"/>
  <c r="L352" i="2"/>
  <c r="K352" i="2"/>
  <c r="L384" i="2"/>
  <c r="K384" i="2"/>
  <c r="L424" i="2"/>
  <c r="K424" i="2"/>
  <c r="L456" i="2"/>
  <c r="K456" i="2"/>
  <c r="L488" i="2"/>
  <c r="K488" i="2"/>
  <c r="L520" i="2"/>
  <c r="K520" i="2"/>
  <c r="L552" i="2"/>
  <c r="K552" i="2"/>
  <c r="L576" i="2"/>
  <c r="K576" i="2"/>
  <c r="L608" i="2"/>
  <c r="K608" i="2"/>
  <c r="K664" i="2"/>
  <c r="L664" i="2"/>
  <c r="L41" i="2"/>
  <c r="K41" i="2"/>
  <c r="L65" i="2"/>
  <c r="K65" i="2"/>
  <c r="L81" i="2"/>
  <c r="K81" i="2"/>
  <c r="L105" i="2"/>
  <c r="K105" i="2"/>
  <c r="L129" i="2"/>
  <c r="K129" i="2"/>
  <c r="L489" i="2"/>
  <c r="K489" i="2"/>
  <c r="L497" i="2"/>
  <c r="K497" i="2"/>
  <c r="L505" i="2"/>
  <c r="K505" i="2"/>
  <c r="L513" i="2"/>
  <c r="K513" i="2"/>
  <c r="L521" i="2"/>
  <c r="K521" i="2"/>
  <c r="L529" i="2"/>
  <c r="K529" i="2"/>
  <c r="L537" i="2"/>
  <c r="K537" i="2"/>
  <c r="L545" i="2"/>
  <c r="K545" i="2"/>
  <c r="L553" i="2"/>
  <c r="K553" i="2"/>
  <c r="L561" i="2"/>
  <c r="K561" i="2"/>
  <c r="L569" i="2"/>
  <c r="K569" i="2"/>
  <c r="L577" i="2"/>
  <c r="K577" i="2"/>
  <c r="L585" i="2"/>
  <c r="K585" i="2"/>
  <c r="L593" i="2"/>
  <c r="K593" i="2"/>
  <c r="L601" i="2"/>
  <c r="K601" i="2"/>
  <c r="L609" i="2"/>
  <c r="K609" i="2"/>
  <c r="L617" i="2"/>
  <c r="K617" i="2"/>
  <c r="L625" i="2"/>
  <c r="K625" i="2"/>
  <c r="L633" i="2"/>
  <c r="K633" i="2"/>
  <c r="L641" i="2"/>
  <c r="K641" i="2"/>
  <c r="L649" i="2"/>
  <c r="K649" i="2"/>
  <c r="L657" i="2"/>
  <c r="K657" i="2"/>
  <c r="L665" i="2"/>
  <c r="K665" i="2"/>
  <c r="L673" i="2"/>
  <c r="K673" i="2"/>
  <c r="L681" i="2"/>
  <c r="K681" i="2"/>
  <c r="K782" i="2"/>
  <c r="K771" i="2"/>
  <c r="K761" i="2"/>
  <c r="K750" i="2"/>
  <c r="K739" i="2"/>
  <c r="K729" i="2"/>
  <c r="K718" i="2"/>
  <c r="K707" i="2"/>
  <c r="K697" i="2"/>
  <c r="K686" i="2"/>
  <c r="K674" i="2"/>
  <c r="K660" i="2"/>
  <c r="K647" i="2"/>
  <c r="K634" i="2"/>
  <c r="K611" i="2"/>
  <c r="K588" i="2"/>
  <c r="K570" i="2"/>
  <c r="K547" i="2"/>
  <c r="K524" i="2"/>
  <c r="K506" i="2"/>
  <c r="K483" i="2"/>
  <c r="K460" i="2"/>
  <c r="K442" i="2"/>
  <c r="K419" i="2"/>
  <c r="K396" i="2"/>
  <c r="K373" i="2"/>
  <c r="K344" i="2"/>
  <c r="K313" i="2"/>
  <c r="K289" i="2"/>
  <c r="K251" i="2"/>
  <c r="K213" i="2"/>
  <c r="K186" i="2"/>
  <c r="K148" i="2"/>
  <c r="K113" i="2"/>
  <c r="K83" i="2"/>
  <c r="K30" i="2"/>
  <c r="L706" i="2"/>
  <c r="L622" i="2"/>
  <c r="L540" i="2"/>
  <c r="L447" i="2"/>
  <c r="L346" i="2"/>
  <c r="L266" i="2"/>
  <c r="L138" i="2"/>
  <c r="L55" i="2"/>
  <c r="K55" i="2"/>
  <c r="L79" i="2"/>
  <c r="K79" i="2"/>
  <c r="L103" i="2"/>
  <c r="K103" i="2"/>
  <c r="L119" i="2"/>
  <c r="K119" i="2"/>
  <c r="L135" i="2"/>
  <c r="K135" i="2"/>
  <c r="L151" i="2"/>
  <c r="K151" i="2"/>
  <c r="L8" i="2"/>
  <c r="K8" i="2"/>
  <c r="L32" i="2"/>
  <c r="K32" i="2"/>
  <c r="K48" i="2"/>
  <c r="L48" i="2"/>
  <c r="L64" i="2"/>
  <c r="K64" i="2"/>
  <c r="K88" i="2"/>
  <c r="L88" i="2"/>
  <c r="L104" i="2"/>
  <c r="K104" i="2"/>
  <c r="L128" i="2"/>
  <c r="K128" i="2"/>
  <c r="K152" i="2"/>
  <c r="L152" i="2"/>
  <c r="K176" i="2"/>
  <c r="L176" i="2"/>
  <c r="L184" i="2"/>
  <c r="K184" i="2"/>
  <c r="L200" i="2"/>
  <c r="K200" i="2"/>
  <c r="L224" i="2"/>
  <c r="K224" i="2"/>
  <c r="L232" i="2"/>
  <c r="K232" i="2"/>
  <c r="L256" i="2"/>
  <c r="K256" i="2"/>
  <c r="L272" i="2"/>
  <c r="K272" i="2"/>
  <c r="L288" i="2"/>
  <c r="K288" i="2"/>
  <c r="L145" i="2"/>
  <c r="K145" i="2"/>
  <c r="L153" i="2"/>
  <c r="K153" i="2"/>
  <c r="L169" i="2"/>
  <c r="K169" i="2"/>
  <c r="L185" i="2"/>
  <c r="K185" i="2"/>
  <c r="L193" i="2"/>
  <c r="K193" i="2"/>
  <c r="L209" i="2"/>
  <c r="K209" i="2"/>
  <c r="L217" i="2"/>
  <c r="K217" i="2"/>
  <c r="L233" i="2"/>
  <c r="K233" i="2"/>
  <c r="L249" i="2"/>
  <c r="K249" i="2"/>
  <c r="L257" i="2"/>
  <c r="K257" i="2"/>
  <c r="L273" i="2"/>
  <c r="K273" i="2"/>
  <c r="L281" i="2"/>
  <c r="K281" i="2"/>
  <c r="L297" i="2"/>
  <c r="K297" i="2"/>
  <c r="L305" i="2"/>
  <c r="K305" i="2"/>
  <c r="L329" i="2"/>
  <c r="K329" i="2"/>
  <c r="L337" i="2"/>
  <c r="K337" i="2"/>
  <c r="L361" i="2"/>
  <c r="K361" i="2"/>
  <c r="L369" i="2"/>
  <c r="K369" i="2"/>
  <c r="L393" i="2"/>
  <c r="K393" i="2"/>
  <c r="L401" i="2"/>
  <c r="K401" i="2"/>
  <c r="L409" i="2"/>
  <c r="K409" i="2"/>
  <c r="L417" i="2"/>
  <c r="K417" i="2"/>
  <c r="L425" i="2"/>
  <c r="K425" i="2"/>
  <c r="L433" i="2"/>
  <c r="K433" i="2"/>
  <c r="L441" i="2"/>
  <c r="K441" i="2"/>
  <c r="L449" i="2"/>
  <c r="K449" i="2"/>
  <c r="L457" i="2"/>
  <c r="K457" i="2"/>
  <c r="L465" i="2"/>
  <c r="K465" i="2"/>
  <c r="L473" i="2"/>
  <c r="K473" i="2"/>
  <c r="L481" i="2"/>
  <c r="K481" i="2"/>
  <c r="K2" i="2"/>
  <c r="L2" i="2"/>
  <c r="L10" i="2"/>
  <c r="K10" i="2"/>
  <c r="K18" i="2"/>
  <c r="L18" i="2"/>
  <c r="K26" i="2"/>
  <c r="L26" i="2"/>
  <c r="K34" i="2"/>
  <c r="L34" i="2"/>
  <c r="K50" i="2"/>
  <c r="L50" i="2"/>
  <c r="K58" i="2"/>
  <c r="L58" i="2"/>
  <c r="L66" i="2"/>
  <c r="K66" i="2"/>
  <c r="L82" i="2"/>
  <c r="K82" i="2"/>
  <c r="L90" i="2"/>
  <c r="K90" i="2"/>
  <c r="L114" i="2"/>
  <c r="K114" i="2"/>
  <c r="L130" i="2"/>
  <c r="K130" i="2"/>
  <c r="L146" i="2"/>
  <c r="K146" i="2"/>
  <c r="K154" i="2"/>
  <c r="L154" i="2"/>
  <c r="K170" i="2"/>
  <c r="L170" i="2"/>
  <c r="L178" i="2"/>
  <c r="K178" i="2"/>
  <c r="L194" i="2"/>
  <c r="K194" i="2"/>
  <c r="L210" i="2"/>
  <c r="K210" i="2"/>
  <c r="L218" i="2"/>
  <c r="K218" i="2"/>
  <c r="K234" i="2"/>
  <c r="L234" i="2"/>
  <c r="L242" i="2"/>
  <c r="K242" i="2"/>
  <c r="L258" i="2"/>
  <c r="K258" i="2"/>
  <c r="L274" i="2"/>
  <c r="K274" i="2"/>
  <c r="L282" i="2"/>
  <c r="K282" i="2"/>
  <c r="L298" i="2"/>
  <c r="K298" i="2"/>
  <c r="L306" i="2"/>
  <c r="K306" i="2"/>
  <c r="L314" i="2"/>
  <c r="K314" i="2"/>
  <c r="L330" i="2"/>
  <c r="K330" i="2"/>
  <c r="L338" i="2"/>
  <c r="K338" i="2"/>
  <c r="K362" i="2"/>
  <c r="L362" i="2"/>
  <c r="L370" i="2"/>
  <c r="K370" i="2"/>
  <c r="L378" i="2"/>
  <c r="K378" i="2"/>
  <c r="K791" i="2"/>
  <c r="K780" i="2"/>
  <c r="K770" i="2"/>
  <c r="K759" i="2"/>
  <c r="K748" i="2"/>
  <c r="K738" i="2"/>
  <c r="K727" i="2"/>
  <c r="K716" i="2"/>
  <c r="K695" i="2"/>
  <c r="K684" i="2"/>
  <c r="K671" i="2"/>
  <c r="K659" i="2"/>
  <c r="K646" i="2"/>
  <c r="K628" i="2"/>
  <c r="K610" i="2"/>
  <c r="K587" i="2"/>
  <c r="K564" i="2"/>
  <c r="K546" i="2"/>
  <c r="K523" i="2"/>
  <c r="K500" i="2"/>
  <c r="K482" i="2"/>
  <c r="K459" i="2"/>
  <c r="K436" i="2"/>
  <c r="K418" i="2"/>
  <c r="K395" i="2"/>
  <c r="K365" i="2"/>
  <c r="K341" i="2"/>
  <c r="K312" i="2"/>
  <c r="K277" i="2"/>
  <c r="K250" i="2"/>
  <c r="K212" i="2"/>
  <c r="K177" i="2"/>
  <c r="K147" i="2"/>
  <c r="K109" i="2"/>
  <c r="K74" i="2"/>
  <c r="K29" i="2"/>
  <c r="L765" i="2"/>
  <c r="L703" i="2"/>
  <c r="L618" i="2"/>
  <c r="L517" i="2"/>
  <c r="L437" i="2"/>
  <c r="L240" i="2"/>
  <c r="L134" i="2"/>
  <c r="L336" i="2"/>
  <c r="K336" i="2"/>
  <c r="L360" i="2"/>
  <c r="K360" i="2"/>
  <c r="L440" i="2"/>
  <c r="K440" i="2"/>
  <c r="K472" i="2"/>
  <c r="L472" i="2"/>
  <c r="L504" i="2"/>
  <c r="K504" i="2"/>
  <c r="L536" i="2"/>
  <c r="K536" i="2"/>
  <c r="L568" i="2"/>
  <c r="K568" i="2"/>
  <c r="K600" i="2"/>
  <c r="L600" i="2"/>
  <c r="L672" i="2"/>
  <c r="K672" i="2"/>
  <c r="L25" i="2"/>
  <c r="K25" i="2"/>
  <c r="L57" i="2"/>
  <c r="K57" i="2"/>
  <c r="L121" i="2"/>
  <c r="K121" i="2"/>
  <c r="L3" i="2"/>
  <c r="K3" i="2"/>
  <c r="L11" i="2"/>
  <c r="K11" i="2"/>
  <c r="L43" i="2"/>
  <c r="K43" i="2"/>
  <c r="L67" i="2"/>
  <c r="K67" i="2"/>
  <c r="L75" i="2"/>
  <c r="K75" i="2"/>
  <c r="L91" i="2"/>
  <c r="K91" i="2"/>
  <c r="L179" i="2"/>
  <c r="K179" i="2"/>
  <c r="L203" i="2"/>
  <c r="K203" i="2"/>
  <c r="L219" i="2"/>
  <c r="K219" i="2"/>
  <c r="L259" i="2"/>
  <c r="K259" i="2"/>
  <c r="L267" i="2"/>
  <c r="K267" i="2"/>
  <c r="L283" i="2"/>
  <c r="K283" i="2"/>
  <c r="K779" i="2"/>
  <c r="K769" i="2"/>
  <c r="K758" i="2"/>
  <c r="K747" i="2"/>
  <c r="K737" i="2"/>
  <c r="K726" i="2"/>
  <c r="K715" i="2"/>
  <c r="K705" i="2"/>
  <c r="K694" i="2"/>
  <c r="K683" i="2"/>
  <c r="K670" i="2"/>
  <c r="K658" i="2"/>
  <c r="K644" i="2"/>
  <c r="K627" i="2"/>
  <c r="K604" i="2"/>
  <c r="K586" i="2"/>
  <c r="K563" i="2"/>
  <c r="K522" i="2"/>
  <c r="K499" i="2"/>
  <c r="K476" i="2"/>
  <c r="K458" i="2"/>
  <c r="K435" i="2"/>
  <c r="K412" i="2"/>
  <c r="K394" i="2"/>
  <c r="K364" i="2"/>
  <c r="K333" i="2"/>
  <c r="K309" i="2"/>
  <c r="K276" i="2"/>
  <c r="K241" i="2"/>
  <c r="K211" i="2"/>
  <c r="K173" i="2"/>
  <c r="K108" i="2"/>
  <c r="K73" i="2"/>
  <c r="K14" i="2"/>
  <c r="L762" i="2"/>
  <c r="L607" i="2"/>
  <c r="L516" i="2"/>
  <c r="L239" i="2"/>
  <c r="L110" i="2"/>
  <c r="L320" i="2"/>
  <c r="K320" i="2"/>
  <c r="L392" i="2"/>
  <c r="K392" i="2"/>
  <c r="L400" i="2"/>
  <c r="K400" i="2"/>
  <c r="L416" i="2"/>
  <c r="K416" i="2"/>
  <c r="K432" i="2"/>
  <c r="L432" i="2"/>
  <c r="L448" i="2"/>
  <c r="K448" i="2"/>
  <c r="L464" i="2"/>
  <c r="K464" i="2"/>
  <c r="L480" i="2"/>
  <c r="K480" i="2"/>
  <c r="L496" i="2"/>
  <c r="K496" i="2"/>
  <c r="L512" i="2"/>
  <c r="K512" i="2"/>
  <c r="L528" i="2"/>
  <c r="K528" i="2"/>
  <c r="L544" i="2"/>
  <c r="K544" i="2"/>
  <c r="K560" i="2"/>
  <c r="L560" i="2"/>
  <c r="L592" i="2"/>
  <c r="K592" i="2"/>
  <c r="L656" i="2"/>
  <c r="K656" i="2"/>
  <c r="L9" i="2"/>
  <c r="K9" i="2"/>
  <c r="L33" i="2"/>
  <c r="K33" i="2"/>
  <c r="L49" i="2"/>
  <c r="K49" i="2"/>
  <c r="L89" i="2"/>
  <c r="K89" i="2"/>
  <c r="L19" i="2"/>
  <c r="K19" i="2"/>
  <c r="L27" i="2"/>
  <c r="K27" i="2"/>
  <c r="L35" i="2"/>
  <c r="K35" i="2"/>
  <c r="L51" i="2"/>
  <c r="K51" i="2"/>
  <c r="L59" i="2"/>
  <c r="K59" i="2"/>
  <c r="L107" i="2"/>
  <c r="K107" i="2"/>
  <c r="L115" i="2"/>
  <c r="K115" i="2"/>
  <c r="L131" i="2"/>
  <c r="K131" i="2"/>
  <c r="L139" i="2"/>
  <c r="K139" i="2"/>
  <c r="L155" i="2"/>
  <c r="K155" i="2"/>
  <c r="L171" i="2"/>
  <c r="K171" i="2"/>
  <c r="L195" i="2"/>
  <c r="K195" i="2"/>
  <c r="L235" i="2"/>
  <c r="K235" i="2"/>
  <c r="L243" i="2"/>
  <c r="K243" i="2"/>
  <c r="K92" i="2"/>
  <c r="L92" i="2"/>
  <c r="L100" i="2"/>
  <c r="K100" i="2"/>
  <c r="L116" i="2"/>
  <c r="K116" i="2"/>
  <c r="L132" i="2"/>
  <c r="K132" i="2"/>
  <c r="L140" i="2"/>
  <c r="K140" i="2"/>
  <c r="L156" i="2"/>
  <c r="K156" i="2"/>
  <c r="L164" i="2"/>
  <c r="K164" i="2"/>
  <c r="L196" i="2"/>
  <c r="K196" i="2"/>
  <c r="K220" i="2"/>
  <c r="L220" i="2"/>
  <c r="L228" i="2"/>
  <c r="K228" i="2"/>
  <c r="K260" i="2"/>
  <c r="L260" i="2"/>
  <c r="L268" i="2"/>
  <c r="K268" i="2"/>
  <c r="K284" i="2"/>
  <c r="L284" i="2"/>
  <c r="L292" i="2"/>
  <c r="K292" i="2"/>
  <c r="L308" i="2"/>
  <c r="K308" i="2"/>
  <c r="L316" i="2"/>
  <c r="K316" i="2"/>
  <c r="K324" i="2"/>
  <c r="L324" i="2"/>
  <c r="L340" i="2"/>
  <c r="K340" i="2"/>
  <c r="L348" i="2"/>
  <c r="K348" i="2"/>
  <c r="L356" i="2"/>
  <c r="K356" i="2"/>
  <c r="L372" i="2"/>
  <c r="K372" i="2"/>
  <c r="L380" i="2"/>
  <c r="K380" i="2"/>
  <c r="L388" i="2"/>
  <c r="K388" i="2"/>
  <c r="K788" i="2"/>
  <c r="K767" i="2"/>
  <c r="K756" i="2"/>
  <c r="K746" i="2"/>
  <c r="K735" i="2"/>
  <c r="K724" i="2"/>
  <c r="K714" i="2"/>
  <c r="K692" i="2"/>
  <c r="K682" i="2"/>
  <c r="K668" i="2"/>
  <c r="K655" i="2"/>
  <c r="K643" i="2"/>
  <c r="K626" i="2"/>
  <c r="K603" i="2"/>
  <c r="K580" i="2"/>
  <c r="K562" i="2"/>
  <c r="K539" i="2"/>
  <c r="K498" i="2"/>
  <c r="K475" i="2"/>
  <c r="K452" i="2"/>
  <c r="K434" i="2"/>
  <c r="K411" i="2"/>
  <c r="K387" i="2"/>
  <c r="K363" i="2"/>
  <c r="K332" i="2"/>
  <c r="K301" i="2"/>
  <c r="K275" i="2"/>
  <c r="K237" i="2"/>
  <c r="K202" i="2"/>
  <c r="K172" i="2"/>
  <c r="K137" i="2"/>
  <c r="K99" i="2"/>
  <c r="K68" i="2"/>
  <c r="K13" i="2"/>
  <c r="L754" i="2"/>
  <c r="L685" i="2"/>
  <c r="L582" i="2"/>
  <c r="L511" i="2"/>
  <c r="L410" i="2"/>
  <c r="L238" i="2"/>
  <c r="L106" i="2"/>
  <c r="L7" i="2"/>
  <c r="K7" i="2"/>
  <c r="L23" i="2"/>
  <c r="K23" i="2"/>
  <c r="L39" i="2"/>
  <c r="K39" i="2"/>
  <c r="K47" i="2"/>
  <c r="L47" i="2"/>
  <c r="L71" i="2"/>
  <c r="K71" i="2"/>
  <c r="L87" i="2"/>
  <c r="K87" i="2"/>
  <c r="K111" i="2"/>
  <c r="L111" i="2"/>
  <c r="K127" i="2"/>
  <c r="L127" i="2"/>
  <c r="K159" i="2"/>
  <c r="L159" i="2"/>
  <c r="K16" i="2"/>
  <c r="L16" i="2"/>
  <c r="L40" i="2"/>
  <c r="K40" i="2"/>
  <c r="K56" i="2"/>
  <c r="L56" i="2"/>
  <c r="L80" i="2"/>
  <c r="K80" i="2"/>
  <c r="L96" i="2"/>
  <c r="K96" i="2"/>
  <c r="L120" i="2"/>
  <c r="K120" i="2"/>
  <c r="L136" i="2"/>
  <c r="K136" i="2"/>
  <c r="L144" i="2"/>
  <c r="K144" i="2"/>
  <c r="L168" i="2"/>
  <c r="K168" i="2"/>
  <c r="L192" i="2"/>
  <c r="K192" i="2"/>
  <c r="K216" i="2"/>
  <c r="L216" i="2"/>
  <c r="L264" i="2"/>
  <c r="K264" i="2"/>
  <c r="L307" i="2"/>
  <c r="K307" i="2"/>
  <c r="L315" i="2"/>
  <c r="K315" i="2"/>
  <c r="L180" i="2"/>
  <c r="K180" i="2"/>
  <c r="L204" i="2"/>
  <c r="K204" i="2"/>
  <c r="L5" i="2"/>
  <c r="K5" i="2"/>
  <c r="K21" i="2"/>
  <c r="L21" i="2"/>
  <c r="L45" i="2"/>
  <c r="K45" i="2"/>
  <c r="L61" i="2"/>
  <c r="K61" i="2"/>
  <c r="L77" i="2"/>
  <c r="K77" i="2"/>
  <c r="L93" i="2"/>
  <c r="K93" i="2"/>
  <c r="L101" i="2"/>
  <c r="K101" i="2"/>
  <c r="K117" i="2"/>
  <c r="L117" i="2"/>
  <c r="L125" i="2"/>
  <c r="K125" i="2"/>
  <c r="L141" i="2"/>
  <c r="K141" i="2"/>
  <c r="L157" i="2"/>
  <c r="K157" i="2"/>
  <c r="L165" i="2"/>
  <c r="K165" i="2"/>
  <c r="K181" i="2"/>
  <c r="L181" i="2"/>
  <c r="L189" i="2"/>
  <c r="K189" i="2"/>
  <c r="L205" i="2"/>
  <c r="K205" i="2"/>
  <c r="L221" i="2"/>
  <c r="K221" i="2"/>
  <c r="L229" i="2"/>
  <c r="K229" i="2"/>
  <c r="K245" i="2"/>
  <c r="L245" i="2"/>
  <c r="L253" i="2"/>
  <c r="K253" i="2"/>
  <c r="L269" i="2"/>
  <c r="K269" i="2"/>
  <c r="L285" i="2"/>
  <c r="K285" i="2"/>
  <c r="L293" i="2"/>
  <c r="K293" i="2"/>
  <c r="L317" i="2"/>
  <c r="K317" i="2"/>
  <c r="K325" i="2"/>
  <c r="L325" i="2"/>
  <c r="L349" i="2"/>
  <c r="K349" i="2"/>
  <c r="L357" i="2"/>
  <c r="K357" i="2"/>
  <c r="L381" i="2"/>
  <c r="K381" i="2"/>
  <c r="L389" i="2"/>
  <c r="K389" i="2"/>
  <c r="L397" i="2"/>
  <c r="K397" i="2"/>
  <c r="L405" i="2"/>
  <c r="K405" i="2"/>
  <c r="L413" i="2"/>
  <c r="K413" i="2"/>
  <c r="L421" i="2"/>
  <c r="K421" i="2"/>
  <c r="L429" i="2"/>
  <c r="K429" i="2"/>
  <c r="L445" i="2"/>
  <c r="K445" i="2"/>
  <c r="L453" i="2"/>
  <c r="K453" i="2"/>
  <c r="L461" i="2"/>
  <c r="K461" i="2"/>
  <c r="L469" i="2"/>
  <c r="K469" i="2"/>
  <c r="L477" i="2"/>
  <c r="K477" i="2"/>
  <c r="L485" i="2"/>
  <c r="K485" i="2"/>
  <c r="L493" i="2"/>
  <c r="K493" i="2"/>
  <c r="L501" i="2"/>
  <c r="K501" i="2"/>
  <c r="L509" i="2"/>
  <c r="K509" i="2"/>
  <c r="L525" i="2"/>
  <c r="K525" i="2"/>
  <c r="K533" i="2"/>
  <c r="L533" i="2"/>
  <c r="L541" i="2"/>
  <c r="K541" i="2"/>
  <c r="L549" i="2"/>
  <c r="K549" i="2"/>
  <c r="L557" i="2"/>
  <c r="K557" i="2"/>
  <c r="L565" i="2"/>
  <c r="K565" i="2"/>
  <c r="L573" i="2"/>
  <c r="K573" i="2"/>
  <c r="L589" i="2"/>
  <c r="K589" i="2"/>
  <c r="K597" i="2"/>
  <c r="L597" i="2"/>
  <c r="L605" i="2"/>
  <c r="K605" i="2"/>
  <c r="L613" i="2"/>
  <c r="K613" i="2"/>
  <c r="L621" i="2"/>
  <c r="K621" i="2"/>
  <c r="K629" i="2"/>
  <c r="L629" i="2"/>
  <c r="L637" i="2"/>
  <c r="K637" i="2"/>
  <c r="L653" i="2"/>
  <c r="K653" i="2"/>
  <c r="L661" i="2"/>
  <c r="K661" i="2"/>
  <c r="L669" i="2"/>
  <c r="K669" i="2"/>
  <c r="L677" i="2"/>
  <c r="K677" i="2"/>
  <c r="L693" i="2"/>
  <c r="K693" i="2"/>
  <c r="L701" i="2"/>
  <c r="K701" i="2"/>
  <c r="L709" i="2"/>
  <c r="K709" i="2"/>
  <c r="L717" i="2"/>
  <c r="K717" i="2"/>
  <c r="L725" i="2"/>
  <c r="K725" i="2"/>
  <c r="L741" i="2"/>
  <c r="K741" i="2"/>
  <c r="K749" i="2"/>
  <c r="L749" i="2"/>
  <c r="L757" i="2"/>
  <c r="K757" i="2"/>
  <c r="L773" i="2"/>
  <c r="K773" i="2"/>
  <c r="L781" i="2"/>
  <c r="K781" i="2"/>
  <c r="K777" i="2"/>
  <c r="K766" i="2"/>
  <c r="K755" i="2"/>
  <c r="K745" i="2"/>
  <c r="K734" i="2"/>
  <c r="K723" i="2"/>
  <c r="K713" i="2"/>
  <c r="K702" i="2"/>
  <c r="K691" i="2"/>
  <c r="K679" i="2"/>
  <c r="K667" i="2"/>
  <c r="K654" i="2"/>
  <c r="K642" i="2"/>
  <c r="K620" i="2"/>
  <c r="K602" i="2"/>
  <c r="K579" i="2"/>
  <c r="K556" i="2"/>
  <c r="K538" i="2"/>
  <c r="K515" i="2"/>
  <c r="K492" i="2"/>
  <c r="K474" i="2"/>
  <c r="K451" i="2"/>
  <c r="K428" i="2"/>
  <c r="K386" i="2"/>
  <c r="K355" i="2"/>
  <c r="K331" i="2"/>
  <c r="K300" i="2"/>
  <c r="K236" i="2"/>
  <c r="K201" i="2"/>
  <c r="K163" i="2"/>
  <c r="K133" i="2"/>
  <c r="K98" i="2"/>
  <c r="K54" i="2"/>
  <c r="K12" i="2"/>
  <c r="L581" i="2"/>
  <c r="L479" i="2"/>
  <c r="L408" i="2"/>
  <c r="L304" i="2"/>
  <c r="L70" i="2"/>
  <c r="L584" i="2"/>
  <c r="K584" i="2"/>
  <c r="L616" i="2"/>
  <c r="K616" i="2"/>
  <c r="K624" i="2"/>
  <c r="L624" i="2"/>
  <c r="L632" i="2"/>
  <c r="K632" i="2"/>
  <c r="L640" i="2"/>
  <c r="K640" i="2"/>
  <c r="L648" i="2"/>
  <c r="K648" i="2"/>
  <c r="L680" i="2"/>
  <c r="K680" i="2"/>
  <c r="L17" i="2"/>
  <c r="K17" i="2"/>
  <c r="L339" i="2"/>
  <c r="K339" i="2"/>
  <c r="L347" i="2"/>
  <c r="K347" i="2"/>
  <c r="L371" i="2"/>
  <c r="K371" i="2"/>
  <c r="L379" i="2"/>
  <c r="K379" i="2"/>
  <c r="L4" i="2"/>
  <c r="K4" i="2"/>
  <c r="L20" i="2"/>
  <c r="K20" i="2"/>
  <c r="K28" i="2"/>
  <c r="L28" i="2"/>
  <c r="L36" i="2"/>
  <c r="K36" i="2"/>
  <c r="L44" i="2"/>
  <c r="K44" i="2"/>
  <c r="K60" i="2"/>
  <c r="L60" i="2"/>
  <c r="L76" i="2"/>
  <c r="K76" i="2"/>
  <c r="L244" i="2"/>
  <c r="K244" i="2"/>
  <c r="L6" i="2"/>
  <c r="K6" i="2"/>
  <c r="L22" i="2"/>
  <c r="K22" i="2"/>
  <c r="L38" i="2"/>
  <c r="K38" i="2"/>
  <c r="K46" i="2"/>
  <c r="L46" i="2"/>
  <c r="L62" i="2"/>
  <c r="K62" i="2"/>
  <c r="L78" i="2"/>
  <c r="K78" i="2"/>
  <c r="L86" i="2"/>
  <c r="K86" i="2"/>
  <c r="L94" i="2"/>
  <c r="K94" i="2"/>
  <c r="K102" i="2"/>
  <c r="L102" i="2"/>
  <c r="L118" i="2"/>
  <c r="K118" i="2"/>
  <c r="L126" i="2"/>
  <c r="K126" i="2"/>
  <c r="L142" i="2"/>
  <c r="K142" i="2"/>
  <c r="L150" i="2"/>
  <c r="K150" i="2"/>
  <c r="L158" i="2"/>
  <c r="K158" i="2"/>
  <c r="K166" i="2"/>
  <c r="L166" i="2"/>
  <c r="L182" i="2"/>
  <c r="K182" i="2"/>
  <c r="L190" i="2"/>
  <c r="K190" i="2"/>
  <c r="K198" i="2"/>
  <c r="L198" i="2"/>
  <c r="L206" i="2"/>
  <c r="K206" i="2"/>
  <c r="L214" i="2"/>
  <c r="K214" i="2"/>
  <c r="L222" i="2"/>
  <c r="K222" i="2"/>
  <c r="K230" i="2"/>
  <c r="L230" i="2"/>
  <c r="L246" i="2"/>
  <c r="K246" i="2"/>
  <c r="L254" i="2"/>
  <c r="K254" i="2"/>
  <c r="K262" i="2"/>
  <c r="L262" i="2"/>
  <c r="L270" i="2"/>
  <c r="K270" i="2"/>
  <c r="L278" i="2"/>
  <c r="K278" i="2"/>
  <c r="L286" i="2"/>
  <c r="K286" i="2"/>
  <c r="K294" i="2"/>
  <c r="L294" i="2"/>
  <c r="K302" i="2"/>
  <c r="L302" i="2"/>
  <c r="L310" i="2"/>
  <c r="K310" i="2"/>
  <c r="L318" i="2"/>
  <c r="K318" i="2"/>
  <c r="K326" i="2"/>
  <c r="L326" i="2"/>
  <c r="L334" i="2"/>
  <c r="K334" i="2"/>
  <c r="L342" i="2"/>
  <c r="K342" i="2"/>
  <c r="L350" i="2"/>
  <c r="K350" i="2"/>
  <c r="K358" i="2"/>
  <c r="L358" i="2"/>
  <c r="K366" i="2"/>
  <c r="L366" i="2"/>
  <c r="L374" i="2"/>
  <c r="K374" i="2"/>
  <c r="L382" i="2"/>
  <c r="K382" i="2"/>
  <c r="L390" i="2"/>
  <c r="K390" i="2"/>
  <c r="L398" i="2"/>
  <c r="K398" i="2"/>
  <c r="L406" i="2"/>
  <c r="K406" i="2"/>
  <c r="L414" i="2"/>
  <c r="K414" i="2"/>
  <c r="L422" i="2"/>
  <c r="K422" i="2"/>
  <c r="K430" i="2"/>
  <c r="L430" i="2"/>
  <c r="L438" i="2"/>
  <c r="K438" i="2"/>
  <c r="L446" i="2"/>
  <c r="K446" i="2"/>
  <c r="L454" i="2"/>
  <c r="K454" i="2"/>
  <c r="L462" i="2"/>
  <c r="K462" i="2"/>
  <c r="L470" i="2"/>
  <c r="K470" i="2"/>
  <c r="L478" i="2"/>
  <c r="K478" i="2"/>
  <c r="L486" i="2"/>
  <c r="K486" i="2"/>
  <c r="L494" i="2"/>
  <c r="K494" i="2"/>
  <c r="L502" i="2"/>
  <c r="K502" i="2"/>
  <c r="L510" i="2"/>
  <c r="K510" i="2"/>
  <c r="L518" i="2"/>
  <c r="K518" i="2"/>
  <c r="L526" i="2"/>
  <c r="K526" i="2"/>
  <c r="L534" i="2"/>
  <c r="K534" i="2"/>
  <c r="L542" i="2"/>
  <c r="K542" i="2"/>
  <c r="L550" i="2"/>
  <c r="K550" i="2"/>
  <c r="L558" i="2"/>
  <c r="K558" i="2"/>
  <c r="L566" i="2"/>
  <c r="K566" i="2"/>
  <c r="L574" i="2"/>
  <c r="K574" i="2"/>
  <c r="L590" i="2"/>
  <c r="K590" i="2"/>
  <c r="L598" i="2"/>
  <c r="K598" i="2"/>
  <c r="L606" i="2"/>
  <c r="K606" i="2"/>
  <c r="L614" i="2"/>
  <c r="K614" i="2"/>
  <c r="L630" i="2"/>
  <c r="K630" i="2"/>
  <c r="K775" i="2"/>
  <c r="K764" i="2"/>
  <c r="K743" i="2"/>
  <c r="K732" i="2"/>
  <c r="K722" i="2"/>
  <c r="K711" i="2"/>
  <c r="K700" i="2"/>
  <c r="K690" i="2"/>
  <c r="K678" i="2"/>
  <c r="K666" i="2"/>
  <c r="K652" i="2"/>
  <c r="K638" i="2"/>
  <c r="K619" i="2"/>
  <c r="K596" i="2"/>
  <c r="K578" i="2"/>
  <c r="K555" i="2"/>
  <c r="K532" i="2"/>
  <c r="K514" i="2"/>
  <c r="K491" i="2"/>
  <c r="K468" i="2"/>
  <c r="K450" i="2"/>
  <c r="K427" i="2"/>
  <c r="K404" i="2"/>
  <c r="K385" i="2"/>
  <c r="K354" i="2"/>
  <c r="K323" i="2"/>
  <c r="K299" i="2"/>
  <c r="K265" i="2"/>
  <c r="K227" i="2"/>
  <c r="K197" i="2"/>
  <c r="K162" i="2"/>
  <c r="K124" i="2"/>
  <c r="K97" i="2"/>
  <c r="K53" i="2"/>
  <c r="L650" i="2"/>
  <c r="L383" i="2"/>
  <c r="L303" i="2"/>
  <c r="L69" i="2"/>
  <c r="L167" i="2"/>
  <c r="K167" i="2"/>
  <c r="L183" i="2"/>
  <c r="K183" i="2"/>
  <c r="K191" i="2"/>
  <c r="L191" i="2"/>
  <c r="L199" i="2"/>
  <c r="K199" i="2"/>
  <c r="L207" i="2"/>
  <c r="K207" i="2"/>
  <c r="L215" i="2"/>
  <c r="K215" i="2"/>
  <c r="K223" i="2"/>
  <c r="L223" i="2"/>
  <c r="L231" i="2"/>
  <c r="K231" i="2"/>
  <c r="L247" i="2"/>
  <c r="K247" i="2"/>
  <c r="K255" i="2"/>
  <c r="L255" i="2"/>
  <c r="L263" i="2"/>
  <c r="K263" i="2"/>
  <c r="L271" i="2"/>
  <c r="K271" i="2"/>
  <c r="L279" i="2"/>
  <c r="K279" i="2"/>
  <c r="K287" i="2"/>
  <c r="L287" i="2"/>
  <c r="L295" i="2"/>
  <c r="K295" i="2"/>
  <c r="L311" i="2"/>
  <c r="K311" i="2"/>
  <c r="K319" i="2"/>
  <c r="L319" i="2"/>
  <c r="L327" i="2"/>
  <c r="K327" i="2"/>
  <c r="L335" i="2"/>
  <c r="K335" i="2"/>
  <c r="L343" i="2"/>
  <c r="K343" i="2"/>
  <c r="K351" i="2"/>
  <c r="L351" i="2"/>
  <c r="L359" i="2"/>
  <c r="K359" i="2"/>
  <c r="K367" i="2"/>
  <c r="L367" i="2"/>
  <c r="L375" i="2"/>
  <c r="K375" i="2"/>
  <c r="L391" i="2"/>
  <c r="K391" i="2"/>
  <c r="L399" i="2"/>
  <c r="K399" i="2"/>
  <c r="L407" i="2"/>
  <c r="K407" i="2"/>
  <c r="L415" i="2"/>
  <c r="K415" i="2"/>
  <c r="L423" i="2"/>
  <c r="K423" i="2"/>
  <c r="L431" i="2"/>
  <c r="K431" i="2"/>
  <c r="L439" i="2"/>
  <c r="K439" i="2"/>
  <c r="L455" i="2"/>
  <c r="K455" i="2"/>
  <c r="L463" i="2"/>
  <c r="K463" i="2"/>
  <c r="L471" i="2"/>
  <c r="K471" i="2"/>
  <c r="L487" i="2"/>
  <c r="K487" i="2"/>
  <c r="L495" i="2"/>
  <c r="K495" i="2"/>
  <c r="L503" i="2"/>
  <c r="K503" i="2"/>
  <c r="L519" i="2"/>
  <c r="K519" i="2"/>
  <c r="L527" i="2"/>
  <c r="K527" i="2"/>
  <c r="L535" i="2"/>
  <c r="K535" i="2"/>
  <c r="L551" i="2"/>
  <c r="K551" i="2"/>
  <c r="L559" i="2"/>
  <c r="K559" i="2"/>
  <c r="L567" i="2"/>
  <c r="K567" i="2"/>
  <c r="L575" i="2"/>
  <c r="K575" i="2"/>
  <c r="L583" i="2"/>
  <c r="K583" i="2"/>
  <c r="L591" i="2"/>
  <c r="K591" i="2"/>
  <c r="L599" i="2"/>
  <c r="K599" i="2"/>
  <c r="L615" i="2"/>
  <c r="K615" i="2"/>
  <c r="L623" i="2"/>
  <c r="K623" i="2"/>
  <c r="L631" i="2"/>
  <c r="K631" i="2"/>
  <c r="L639" i="2"/>
  <c r="K639" i="2"/>
  <c r="K774" i="2"/>
  <c r="K763" i="2"/>
  <c r="K742" i="2"/>
  <c r="K731" i="2"/>
  <c r="K710" i="2"/>
  <c r="K699" i="2"/>
  <c r="K676" i="2"/>
  <c r="K663" i="2"/>
  <c r="K651" i="2"/>
  <c r="K636" i="2"/>
  <c r="K595" i="2"/>
  <c r="K572" i="2"/>
  <c r="K554" i="2"/>
  <c r="K531" i="2"/>
  <c r="K508" i="2"/>
  <c r="K490" i="2"/>
  <c r="K467" i="2"/>
  <c r="K444" i="2"/>
  <c r="K426" i="2"/>
  <c r="K403" i="2"/>
  <c r="K377" i="2"/>
  <c r="K353" i="2"/>
  <c r="K322" i="2"/>
  <c r="K291" i="2"/>
  <c r="K261" i="2"/>
  <c r="K226" i="2"/>
  <c r="K188" i="2"/>
  <c r="K161" i="2"/>
  <c r="K123" i="2"/>
  <c r="K85" i="2"/>
  <c r="K52" i="2"/>
  <c r="L733" i="2"/>
  <c r="L280" i="2"/>
  <c r="L175" i="2"/>
  <c r="L42" i="2"/>
  <c r="L688" i="2"/>
  <c r="K688" i="2"/>
  <c r="L696" i="2"/>
  <c r="K696" i="2"/>
  <c r="L704" i="2"/>
  <c r="K704" i="2"/>
  <c r="L712" i="2"/>
  <c r="K712" i="2"/>
  <c r="L720" i="2"/>
  <c r="K720" i="2"/>
  <c r="L728" i="2"/>
  <c r="K728" i="2"/>
  <c r="L736" i="2"/>
  <c r="K736" i="2"/>
  <c r="L744" i="2"/>
  <c r="K744" i="2"/>
  <c r="L752" i="2"/>
  <c r="K752" i="2"/>
  <c r="L760" i="2"/>
  <c r="K760" i="2"/>
  <c r="L768" i="2"/>
  <c r="K768" i="2"/>
  <c r="L776" i="2"/>
  <c r="K776" i="2"/>
  <c r="L784" i="2"/>
  <c r="K784" i="2"/>
  <c r="L792" i="2"/>
  <c r="K792" i="2"/>
  <c r="K783" i="2"/>
  <c r="K772" i="2"/>
  <c r="K751" i="2"/>
  <c r="K740" i="2"/>
  <c r="K730" i="2"/>
  <c r="K719" i="2"/>
  <c r="K708" i="2"/>
  <c r="K698" i="2"/>
  <c r="K687" i="2"/>
  <c r="K675" i="2"/>
  <c r="K662" i="2"/>
  <c r="K635" i="2"/>
  <c r="K612" i="2"/>
  <c r="K594" i="2"/>
  <c r="K571" i="2"/>
  <c r="K548" i="2"/>
  <c r="K530" i="2"/>
  <c r="K507" i="2"/>
  <c r="K484" i="2"/>
  <c r="K466" i="2"/>
  <c r="K443" i="2"/>
  <c r="K420" i="2"/>
  <c r="K402" i="2"/>
  <c r="K376" i="2"/>
  <c r="K345" i="2"/>
  <c r="K321" i="2"/>
  <c r="K290" i="2"/>
  <c r="K252" i="2"/>
  <c r="K225" i="2"/>
  <c r="K187" i="2"/>
  <c r="K149" i="2"/>
  <c r="K122" i="2"/>
  <c r="K84" i="2"/>
  <c r="K37" i="2"/>
  <c r="L645" i="2"/>
  <c r="L543" i="2"/>
  <c r="L368" i="2"/>
  <c r="L174" i="2"/>
  <c r="L31" i="2"/>
  <c r="K789" i="2"/>
</calcChain>
</file>

<file path=xl/sharedStrings.xml><?xml version="1.0" encoding="utf-8"?>
<sst xmlns="http://schemas.openxmlformats.org/spreadsheetml/2006/main" count="6576" uniqueCount="879">
  <si>
    <t>order_id</t>
  </si>
  <si>
    <t>order_date</t>
  </si>
  <si>
    <t>product_name</t>
  </si>
  <si>
    <t>category</t>
  </si>
  <si>
    <t>region</t>
  </si>
  <si>
    <t>unit_price</t>
  </si>
  <si>
    <t>quantity</t>
  </si>
  <si>
    <t>discount_pct</t>
  </si>
  <si>
    <t>customer_rating</t>
  </si>
  <si>
    <t>ORD1595</t>
  </si>
  <si>
    <t>Power Bank</t>
  </si>
  <si>
    <t>Electronics</t>
  </si>
  <si>
    <t>EAST</t>
  </si>
  <si>
    <t>ORD1397</t>
  </si>
  <si>
    <t>Laptop stand</t>
  </si>
  <si>
    <t>Accessories</t>
  </si>
  <si>
    <t>ORD1327</t>
  </si>
  <si>
    <t>Mechanical Keyboard</t>
  </si>
  <si>
    <t>East</t>
  </si>
  <si>
    <t>ORD1278</t>
  </si>
  <si>
    <t>Bluetooth  Speaker</t>
  </si>
  <si>
    <t>Audio</t>
  </si>
  <si>
    <t>West</t>
  </si>
  <si>
    <t>ORD1264</t>
  </si>
  <si>
    <t>usb-c cable</t>
  </si>
  <si>
    <t>ORD1634</t>
  </si>
  <si>
    <t>Desk Lamp</t>
  </si>
  <si>
    <t>Home</t>
  </si>
  <si>
    <t>ORD1110</t>
  </si>
  <si>
    <t>Phone Case</t>
  </si>
  <si>
    <t>South</t>
  </si>
  <si>
    <t>ORD1228</t>
  </si>
  <si>
    <t>Bluetooth Speaker</t>
  </si>
  <si>
    <t>ORD1302</t>
  </si>
  <si>
    <t>Wireless Mouse</t>
  </si>
  <si>
    <t>$1379.35</t>
  </si>
  <si>
    <t>ORD1507</t>
  </si>
  <si>
    <t>wireless mouse</t>
  </si>
  <si>
    <t>ORD1034</t>
  </si>
  <si>
    <t xml:space="preserve">South </t>
  </si>
  <si>
    <t>ORD1738</t>
  </si>
  <si>
    <t>power bank</t>
  </si>
  <si>
    <t>ORD1744</t>
  </si>
  <si>
    <t>USB-C Cable</t>
  </si>
  <si>
    <t>ORD1148</t>
  </si>
  <si>
    <t>ORD1597</t>
  </si>
  <si>
    <t>ORD1441</t>
  </si>
  <si>
    <t>north</t>
  </si>
  <si>
    <t>ORD1508</t>
  </si>
  <si>
    <t>ORD1326</t>
  </si>
  <si>
    <t>Webcam HD</t>
  </si>
  <si>
    <t>ORD1153</t>
  </si>
  <si>
    <t>$1255.74</t>
  </si>
  <si>
    <t>ORD1791</t>
  </si>
  <si>
    <t>Laptop Stand</t>
  </si>
  <si>
    <t>ORD1385</t>
  </si>
  <si>
    <t>North</t>
  </si>
  <si>
    <t>ORD1610</t>
  </si>
  <si>
    <t>ORD1379</t>
  </si>
  <si>
    <t>ORD1188</t>
  </si>
  <si>
    <t>ORD1582</t>
  </si>
  <si>
    <t>ORD1467</t>
  </si>
  <si>
    <t>ORD1367</t>
  </si>
  <si>
    <t>ORD1094</t>
  </si>
  <si>
    <t>ORD1619</t>
  </si>
  <si>
    <t>ORD1271</t>
  </si>
  <si>
    <t>ORD1251</t>
  </si>
  <si>
    <t>ORD1061</t>
  </si>
  <si>
    <t>ORD1484</t>
  </si>
  <si>
    <t>ORD1355</t>
  </si>
  <si>
    <t>ORD1053</t>
  </si>
  <si>
    <t>ORD1389</t>
  </si>
  <si>
    <t>ORD1518</t>
  </si>
  <si>
    <t>ORD1687</t>
  </si>
  <si>
    <t>ORD1556</t>
  </si>
  <si>
    <t>ORD1711</t>
  </si>
  <si>
    <t>ORD1308</t>
  </si>
  <si>
    <t>ORD1737</t>
  </si>
  <si>
    <t>webcam hd</t>
  </si>
  <si>
    <t>ORD1388</t>
  </si>
  <si>
    <t>ORD1013</t>
  </si>
  <si>
    <t>ORD1142</t>
  </si>
  <si>
    <t>ORD1253</t>
  </si>
  <si>
    <t>ORD1523</t>
  </si>
  <si>
    <t>ORD1449</t>
  </si>
  <si>
    <t>ORD1296</t>
  </si>
  <si>
    <t>ORD1108</t>
  </si>
  <si>
    <t>ORD1179</t>
  </si>
  <si>
    <t>ORD1726</t>
  </si>
  <si>
    <t>ORD1526</t>
  </si>
  <si>
    <t>ORD1409</t>
  </si>
  <si>
    <t>ORD1451</t>
  </si>
  <si>
    <t>ORD1563</t>
  </si>
  <si>
    <t>ORD1734</t>
  </si>
  <si>
    <t>ORD1316</t>
  </si>
  <si>
    <t>ORD1739</t>
  </si>
  <si>
    <t>ORD1294</t>
  </si>
  <si>
    <t>ORD1754</t>
  </si>
  <si>
    <t>ORD1574</t>
  </si>
  <si>
    <t>ORD1798</t>
  </si>
  <si>
    <t>ORD1442</t>
  </si>
  <si>
    <t>ORD1639</t>
  </si>
  <si>
    <t>ORD1437</t>
  </si>
  <si>
    <t>ORD1773</t>
  </si>
  <si>
    <t>ORD1412</t>
  </si>
  <si>
    <t>$242.61</t>
  </si>
  <si>
    <t>ORD1134</t>
  </si>
  <si>
    <t>ORD1480</t>
  </si>
  <si>
    <t>ORD1127</t>
  </si>
  <si>
    <t>ORD1242</t>
  </si>
  <si>
    <t>$1321.2</t>
  </si>
  <si>
    <t>ORD1048</t>
  </si>
  <si>
    <t>ORD1453</t>
  </si>
  <si>
    <t>ORD1220</t>
  </si>
  <si>
    <t>ORD1140</t>
  </si>
  <si>
    <t>ORD1365</t>
  </si>
  <si>
    <t>ORD1395</t>
  </si>
  <si>
    <t>ORD1252</t>
  </si>
  <si>
    <t>ORD1015</t>
  </si>
  <si>
    <t>ORD1060</t>
  </si>
  <si>
    <t>ORD1046</t>
  </si>
  <si>
    <t>ORD1336</t>
  </si>
  <si>
    <t>ORD1728</t>
  </si>
  <si>
    <t>ORD1552</t>
  </si>
  <si>
    <t>ORD1695</t>
  </si>
  <si>
    <t>ORD1008</t>
  </si>
  <si>
    <t>ORD1057</t>
  </si>
  <si>
    <t>ORD1328</t>
  </si>
  <si>
    <t>ORD1244</t>
  </si>
  <si>
    <t>ORD1725</t>
  </si>
  <si>
    <t>ORD1747</t>
  </si>
  <si>
    <t>ORD1762</t>
  </si>
  <si>
    <t>ORD1353</t>
  </si>
  <si>
    <t>ORD1256</t>
  </si>
  <si>
    <t>ORD1752</t>
  </si>
  <si>
    <t>ORD1138</t>
  </si>
  <si>
    <t>ORD1357</t>
  </si>
  <si>
    <t>ORD1586</t>
  </si>
  <si>
    <t>ORD1289</t>
  </si>
  <si>
    <t>ORD1489</t>
  </si>
  <si>
    <t>ORD1746</t>
  </si>
  <si>
    <t>ORD1719</t>
  </si>
  <si>
    <t>ORD1454</t>
  </si>
  <si>
    <t>ORD1637</t>
  </si>
  <si>
    <t>ORD1680</t>
  </si>
  <si>
    <t>ORD1306</t>
  </si>
  <si>
    <t>ORD1465</t>
  </si>
  <si>
    <t>ORD1125</t>
  </si>
  <si>
    <t>ORD1186</t>
  </si>
  <si>
    <t>ORD1776</t>
  </si>
  <si>
    <t>ORD1463</t>
  </si>
  <si>
    <t>ORD1786</t>
  </si>
  <si>
    <t>ORD1050</t>
  </si>
  <si>
    <t>ORD1645</t>
  </si>
  <si>
    <t>ORD1735</t>
  </si>
  <si>
    <t>ORD1777</t>
  </si>
  <si>
    <t>ORD1596</t>
  </si>
  <si>
    <t>ORD1350</t>
  </si>
  <si>
    <t>ORD1775</t>
  </si>
  <si>
    <t>ORD1063</t>
  </si>
  <si>
    <t>ORD1098</t>
  </si>
  <si>
    <t>ORD1419</t>
  </si>
  <si>
    <t>ORD1618</t>
  </si>
  <si>
    <t>ORD1562</t>
  </si>
  <si>
    <t>ORD1232</t>
  </si>
  <si>
    <t>ORD1532</t>
  </si>
  <si>
    <t>$1184.14</t>
  </si>
  <si>
    <t>ORD1693</t>
  </si>
  <si>
    <t>ORD1066</t>
  </si>
  <si>
    <t>ORD1580</t>
  </si>
  <si>
    <t>ORD1009</t>
  </si>
  <si>
    <t>ORD1585</t>
  </si>
  <si>
    <t>ORD1351</t>
  </si>
  <si>
    <t>ORD1362</t>
  </si>
  <si>
    <t>ORD1528</t>
  </si>
  <si>
    <t>ORD1422</t>
  </si>
  <si>
    <t>ORD1222</t>
  </si>
  <si>
    <t>ORD1592</t>
  </si>
  <si>
    <t>ORD1672</t>
  </si>
  <si>
    <t>ORD1064</t>
  </si>
  <si>
    <t>ORD1533</t>
  </si>
  <si>
    <t>ORD1146</t>
  </si>
  <si>
    <t>ORD1204</t>
  </si>
  <si>
    <t>ORD1159</t>
  </si>
  <si>
    <t>ORD1708</t>
  </si>
  <si>
    <t>ORD1567</t>
  </si>
  <si>
    <t>ORD1624</t>
  </si>
  <si>
    <t>ORD1285</t>
  </si>
  <si>
    <t>ORD1414</t>
  </si>
  <si>
    <t>ORD1272</t>
  </si>
  <si>
    <t>ORD1420</t>
  </si>
  <si>
    <t>ORD1168</t>
  </si>
  <si>
    <t>ORD1670</t>
  </si>
  <si>
    <t>ORD1381</t>
  </si>
  <si>
    <t>ORD1411</t>
  </si>
  <si>
    <t>ORD1446</t>
  </si>
  <si>
    <t>ORD1657</t>
  </si>
  <si>
    <t>ORD1192</t>
  </si>
  <si>
    <t>ORD1742</t>
  </si>
  <si>
    <t>ORD1540</t>
  </si>
  <si>
    <t>ORD1259</t>
  </si>
  <si>
    <t>ORD1778</t>
  </si>
  <si>
    <t>ORD1392</t>
  </si>
  <si>
    <t>ORD1756</t>
  </si>
  <si>
    <t>ORD1349</t>
  </si>
  <si>
    <t>ORD1074</t>
  </si>
  <si>
    <t>ORD1263</t>
  </si>
  <si>
    <t>ORD1128</t>
  </si>
  <si>
    <t>ORD1558</t>
  </si>
  <si>
    <t>ORD1109</t>
  </si>
  <si>
    <t>ORD1025</t>
  </si>
  <si>
    <t>ORD1209</t>
  </si>
  <si>
    <t>ORD1703</t>
  </si>
  <si>
    <t>ORD1273</t>
  </si>
  <si>
    <t>ORD1452</t>
  </si>
  <si>
    <t>ORD1655</t>
  </si>
  <si>
    <t>ORD1277</t>
  </si>
  <si>
    <t>ORD1660</t>
  </si>
  <si>
    <t>ORD1464</t>
  </si>
  <si>
    <t>ORD1099</t>
  </si>
  <si>
    <t>ORD1024</t>
  </si>
  <si>
    <t>ORD1358</t>
  </si>
  <si>
    <t>ORD1600</t>
  </si>
  <si>
    <t>ORD1447</t>
  </si>
  <si>
    <t>ORD1382</t>
  </si>
  <si>
    <t>ORD1500</t>
  </si>
  <si>
    <t>ORD1538</t>
  </si>
  <si>
    <t>ORD1261</t>
  </si>
  <si>
    <t>ORD1466</t>
  </si>
  <si>
    <t>ORD1070</t>
  </si>
  <si>
    <t>ORD1570</t>
  </si>
  <si>
    <t>ORD1541</t>
  </si>
  <si>
    <t>ORD1375</t>
  </si>
  <si>
    <t>ORD1510</t>
  </si>
  <si>
    <t>ORD1740</t>
  </si>
  <si>
    <t>ORD1387</t>
  </si>
  <si>
    <t>ORD1714</t>
  </si>
  <si>
    <t>ORD1205</t>
  </si>
  <si>
    <t>ORD1793</t>
  </si>
  <si>
    <t>ORD1545</t>
  </si>
  <si>
    <t>ORD1334</t>
  </si>
  <si>
    <t>ORD1743</t>
  </si>
  <si>
    <t>ORD1171</t>
  </si>
  <si>
    <t>ORD1757</t>
  </si>
  <si>
    <t>ORD1283</t>
  </si>
  <si>
    <t>ORD1399</t>
  </si>
  <si>
    <t>ORD1111</t>
  </si>
  <si>
    <t>ORD1542</t>
  </si>
  <si>
    <t>ORD1022</t>
  </si>
  <si>
    <t>ORD1662</t>
  </si>
  <si>
    <t>ORD1229</t>
  </si>
  <si>
    <t>ORD1002</t>
  </si>
  <si>
    <t>ORD1758</t>
  </si>
  <si>
    <t>ORD1270</t>
  </si>
  <si>
    <t>ORD1723</t>
  </si>
  <si>
    <t>ORD1698</t>
  </si>
  <si>
    <t>ORD1132</t>
  </si>
  <si>
    <t>ORD1199</t>
  </si>
  <si>
    <t>ORD1115</t>
  </si>
  <si>
    <t>ORD1352</t>
  </si>
  <si>
    <t>ORD1509</t>
  </si>
  <si>
    <t>ORD1667</t>
  </si>
  <si>
    <t>ORD1623</t>
  </si>
  <si>
    <t>ORD1065</t>
  </si>
  <si>
    <t>ORD1239</t>
  </si>
  <si>
    <t>ORD1051</t>
  </si>
  <si>
    <t>ORD1360</t>
  </si>
  <si>
    <t>ORD1300</t>
  </si>
  <si>
    <t>ORD1614</t>
  </si>
  <si>
    <t>ORD1307</t>
  </si>
  <si>
    <t>ORD1761</t>
  </si>
  <si>
    <t>ORD1426</t>
  </si>
  <si>
    <t>ORD1766</t>
  </si>
  <si>
    <t>ORD1305</t>
  </si>
  <si>
    <t>ORD1594</t>
  </si>
  <si>
    <t>ORD1323</t>
  </si>
  <si>
    <t>ORD1779</t>
  </si>
  <si>
    <t>ORD1081</t>
  </si>
  <si>
    <t>ORD1710</t>
  </si>
  <si>
    <t>ORD1616</t>
  </si>
  <si>
    <t>ORD1177</t>
  </si>
  <si>
    <t>ORD1641</t>
  </si>
  <si>
    <t>ORD1037</t>
  </si>
  <si>
    <t>ORD1097</t>
  </si>
  <si>
    <t>ORD1202</t>
  </si>
  <si>
    <t>ORD1530</t>
  </si>
  <si>
    <t>ORD1236</t>
  </si>
  <si>
    <t>ORD1149</t>
  </si>
  <si>
    <t>ORD1503</t>
  </si>
  <si>
    <t>ORD1191</t>
  </si>
  <si>
    <t>ORD1217</t>
  </si>
  <si>
    <t>ORD1764</t>
  </si>
  <si>
    <t>ORD1445</t>
  </si>
  <si>
    <t>ORD1390</t>
  </si>
  <si>
    <t>ORD1054</t>
  </si>
  <si>
    <t>ORD1470</t>
  </si>
  <si>
    <t>ORD1371</t>
  </si>
  <si>
    <t>ORD1435</t>
  </si>
  <si>
    <t>ORD1749</t>
  </si>
  <si>
    <t>ORD1534</t>
  </si>
  <si>
    <t>ORD1709</t>
  </si>
  <si>
    <t>ORD1193</t>
  </si>
  <si>
    <t>ORD1235</t>
  </si>
  <si>
    <t>ORD1679</t>
  </si>
  <si>
    <t>ORD1055</t>
  </si>
  <si>
    <t>ORD1299</t>
  </si>
  <si>
    <t>ORD1511</t>
  </si>
  <si>
    <t>ORD1141</t>
  </si>
  <si>
    <t>ORD1568</t>
  </si>
  <si>
    <t>ORD1701</t>
  </si>
  <si>
    <t>ORD1372</t>
  </si>
  <si>
    <t>ORD1407</t>
  </si>
  <si>
    <t>ORD1120</t>
  </si>
  <si>
    <t>ORD1472</t>
  </si>
  <si>
    <t>ORD1492</t>
  </si>
  <si>
    <t>ORD1084</t>
  </si>
  <si>
    <t>ORD1611</t>
  </si>
  <si>
    <t>ORD1003</t>
  </si>
  <si>
    <t>ORD1058</t>
  </si>
  <si>
    <t>ORD1223</t>
  </si>
  <si>
    <t>ORD1487</t>
  </si>
  <si>
    <t>ORD1101</t>
  </si>
  <si>
    <t>ORD1221</t>
  </si>
  <si>
    <t>ORD1620</t>
  </si>
  <si>
    <t>ORD1478</t>
  </si>
  <si>
    <t>$2908.4</t>
  </si>
  <si>
    <t>ORD1052</t>
  </si>
  <si>
    <t>ORD1017</t>
  </si>
  <si>
    <t>ORD1155</t>
  </si>
  <si>
    <t>ORD1549</t>
  </si>
  <si>
    <t>ORD1248</t>
  </si>
  <si>
    <t>ORD1249</t>
  </si>
  <si>
    <t>ORD1663</t>
  </si>
  <si>
    <t>ORD1691</t>
  </si>
  <si>
    <t>ORD1030</t>
  </si>
  <si>
    <t>ORD1635</t>
  </si>
  <si>
    <t>ORD1781</t>
  </si>
  <si>
    <t>ORD1117</t>
  </si>
  <si>
    <t>ORD1175</t>
  </si>
  <si>
    <t>ORD1116</t>
  </si>
  <si>
    <t>$1191.67</t>
  </si>
  <si>
    <t>ORD1632</t>
  </si>
  <si>
    <t>ORD1626</t>
  </si>
  <si>
    <t>ORD1396</t>
  </si>
  <si>
    <t>ORD1027</t>
  </si>
  <si>
    <t>ORD1504</t>
  </si>
  <si>
    <t>ORD1200</t>
  </si>
  <si>
    <t>ORD1408</t>
  </si>
  <si>
    <t>ORD1732</t>
  </si>
  <si>
    <t>ORD1768</t>
  </si>
  <si>
    <t>ORD1602</t>
  </si>
  <si>
    <t>ORD1318</t>
  </si>
  <si>
    <t>$1277.8</t>
  </si>
  <si>
    <t>ORD1280</t>
  </si>
  <si>
    <t>ORD1769</t>
  </si>
  <si>
    <t>ORD1690</t>
  </si>
  <si>
    <t>ORD1207</t>
  </si>
  <si>
    <t>ORD1644</t>
  </si>
  <si>
    <t>ORD1023</t>
  </si>
  <si>
    <t>ORD1564</t>
  </si>
  <si>
    <t>ORD1608</t>
  </si>
  <si>
    <t>ORD1154</t>
  </si>
  <si>
    <t>ORD1699</t>
  </si>
  <si>
    <t>ORD1591</t>
  </si>
  <si>
    <t>ORD1638</t>
  </si>
  <si>
    <t>ORD1577</t>
  </si>
  <si>
    <t>ORD1455</t>
  </si>
  <si>
    <t>ORD1430</t>
  </si>
  <si>
    <t>ORD1262</t>
  </si>
  <si>
    <t>ORD1082</t>
  </si>
  <si>
    <t>ORD1403</t>
  </si>
  <si>
    <t>ORD1431</t>
  </si>
  <si>
    <t>$1065.88</t>
  </si>
  <si>
    <t>ORD1038</t>
  </si>
  <si>
    <t>ORD1717</t>
  </si>
  <si>
    <t>ORD1333</t>
  </si>
  <si>
    <t>ORD1010</t>
  </si>
  <si>
    <t>ORD1731</t>
  </si>
  <si>
    <t>ORD1319</t>
  </si>
  <si>
    <t>ORD1032</t>
  </si>
  <si>
    <t>ORD1712</t>
  </si>
  <si>
    <t>ORD1553</t>
  </si>
  <si>
    <t>ORD1281</t>
  </si>
  <si>
    <t>ORD1459</t>
  </si>
  <si>
    <t>ORD1729</t>
  </si>
  <si>
    <t>ORD1473</t>
  </si>
  <si>
    <t>ORD1736</t>
  </si>
  <si>
    <t>ORD1501</t>
  </si>
  <si>
    <t>ORD1423</t>
  </si>
  <si>
    <t>ORD1089</t>
  </si>
  <si>
    <t>ORD1213</t>
  </si>
  <si>
    <t>ORD1321</t>
  </si>
  <si>
    <t>ORD1681</t>
  </si>
  <si>
    <t>ORD1133</t>
  </si>
  <si>
    <t>ORD1346</t>
  </si>
  <si>
    <t>ORD1499</t>
  </si>
  <si>
    <t>ORD1007</t>
  </si>
  <si>
    <t>ORD1477</t>
  </si>
  <si>
    <t>ORD1664</t>
  </si>
  <si>
    <t>ORD1187</t>
  </si>
  <si>
    <t>ORD1122</t>
  </si>
  <si>
    <t>ORD1040</t>
  </si>
  <si>
    <t>ORD1304</t>
  </si>
  <si>
    <t>ORD1418</t>
  </si>
  <si>
    <t>ORD1669</t>
  </si>
  <si>
    <t>ORD1172</t>
  </si>
  <si>
    <t>ORD1284</t>
  </si>
  <si>
    <t>$499.31</t>
  </si>
  <si>
    <t>ORD1716</t>
  </si>
  <si>
    <t>ORD1240</t>
  </si>
  <si>
    <t>ORD1656</t>
  </si>
  <si>
    <t>ORD1525</t>
  </si>
  <si>
    <t>ORD1485</t>
  </si>
  <si>
    <t>ORD1569</t>
  </si>
  <si>
    <t>ORD1245</t>
  </si>
  <si>
    <t>ORD1056</t>
  </si>
  <si>
    <t>ORD1649</t>
  </si>
  <si>
    <t>ORD1071</t>
  </si>
  <si>
    <t>ORD1607</t>
  </si>
  <si>
    <t>ORD1145</t>
  </si>
  <si>
    <t>$404.73</t>
  </si>
  <si>
    <t>ORD1090</t>
  </si>
  <si>
    <t>ORD1166</t>
  </si>
  <si>
    <t>ORD1493</t>
  </si>
  <si>
    <t>ORD1170</t>
  </si>
  <si>
    <t>ORD1310</t>
  </si>
  <si>
    <t>ORD1471</t>
  </si>
  <si>
    <t>ORD1359</t>
  </si>
  <si>
    <t>ORD1093</t>
  </si>
  <si>
    <t>ORD1482</t>
  </si>
  <si>
    <t>ORD1707</t>
  </si>
  <si>
    <t>$2431.73</t>
  </si>
  <si>
    <t>ORD1606</t>
  </si>
  <si>
    <t>ORD1376</t>
  </si>
  <si>
    <t>ORD1243</t>
  </si>
  <si>
    <t>ORD1087</t>
  </si>
  <si>
    <t>ORD1214</t>
  </si>
  <si>
    <t>ORD1344</t>
  </si>
  <si>
    <t>ORD1173</t>
  </si>
  <si>
    <t>ORD1640</t>
  </si>
  <si>
    <t>ORD1291</t>
  </si>
  <si>
    <t>ORD1625</t>
  </si>
  <si>
    <t>ORD1118</t>
  </si>
  <si>
    <t>ORD1119</t>
  </si>
  <si>
    <t>ORD1163</t>
  </si>
  <si>
    <t>ORD1514</t>
  </si>
  <si>
    <t>ORD1384</t>
  </si>
  <si>
    <t>ORD1531</t>
  </si>
  <si>
    <t>ORD1394</t>
  </si>
  <si>
    <t>ORD1401</t>
  </si>
  <si>
    <t>ORD1404</t>
  </si>
  <si>
    <t>ORD1650</t>
  </si>
  <si>
    <t>ORD1491</t>
  </si>
  <si>
    <t>ORD1162</t>
  </si>
  <si>
    <t>ORD1320</t>
  </si>
  <si>
    <t>ORD1114</t>
  </si>
  <si>
    <t>ORD1158</t>
  </si>
  <si>
    <t>ORD1150</t>
  </si>
  <si>
    <t>ORD1565</t>
  </si>
  <si>
    <t>ORD1417</t>
  </si>
  <si>
    <t>ORD1601</t>
  </si>
  <si>
    <t>ORD1368</t>
  </si>
  <si>
    <t>ORD1031</t>
  </si>
  <si>
    <t>ORD1377</t>
  </si>
  <si>
    <t>ORD1794</t>
  </si>
  <si>
    <t>ORD1020</t>
  </si>
  <si>
    <t>ORD1113</t>
  </si>
  <si>
    <t>ORD1700</t>
  </si>
  <si>
    <t>ORD1000</t>
  </si>
  <si>
    <t>ORD1598</t>
  </si>
  <si>
    <t>ORD1688</t>
  </si>
  <si>
    <t>ORD1770</t>
  </si>
  <si>
    <t>ORD1547</t>
  </si>
  <si>
    <t>ORD1258</t>
  </si>
  <si>
    <t>ORD1783</t>
  </si>
  <si>
    <t>ORD1314</t>
  </si>
  <si>
    <t>ORD1686</t>
  </si>
  <si>
    <t>ORD1135</t>
  </si>
  <si>
    <t>ORD1543</t>
  </si>
  <si>
    <t>$1545.98</t>
  </si>
  <si>
    <t>ORD1004</t>
  </si>
  <si>
    <t>ORD1557</t>
  </si>
  <si>
    <t>ORD1324</t>
  </si>
  <si>
    <t>ORD1330</t>
  </si>
  <si>
    <t>ORD1789</t>
  </si>
  <si>
    <t>ORD1339</t>
  </si>
  <si>
    <t>ORD1297</t>
  </si>
  <si>
    <t>ORD1080</t>
  </si>
  <si>
    <t>ORD1694</t>
  </si>
  <si>
    <t>ORD1026</t>
  </si>
  <si>
    <t>ORD1685</t>
  </si>
  <si>
    <t>ORD1216</t>
  </si>
  <si>
    <t>ORD1603</t>
  </si>
  <si>
    <t>ORD1343</t>
  </si>
  <si>
    <t>ORD1587</t>
  </si>
  <si>
    <t>ORD1505</t>
  </si>
  <si>
    <t>ORD1364</t>
  </si>
  <si>
    <t>ORD1498</t>
  </si>
  <si>
    <t>ORD1147</t>
  </si>
  <si>
    <t>ORD1014</t>
  </si>
  <si>
    <t>ORD1174</t>
  </si>
  <si>
    <t>ORD1086</t>
  </si>
  <si>
    <t>ORD1370</t>
  </si>
  <si>
    <t>ORD1165</t>
  </si>
  <si>
    <t>ORD1713</t>
  </si>
  <si>
    <t>ORD1335</t>
  </si>
  <si>
    <t>ORD1059</t>
  </si>
  <si>
    <t>ORD1702</t>
  </si>
  <si>
    <t>ORD1590</t>
  </si>
  <si>
    <t>ORD1164</t>
  </si>
  <si>
    <t>ORD1354</t>
  </si>
  <si>
    <t>ORD1515</t>
  </si>
  <si>
    <t>ORD1424</t>
  </si>
  <si>
    <t>ORD1292</t>
  </si>
  <si>
    <t>ORD1041</t>
  </si>
  <si>
    <t>ORD1361</t>
  </si>
  <si>
    <t>ORD1329</t>
  </si>
  <si>
    <t>ORD1551</t>
  </si>
  <si>
    <t>ORD1429</t>
  </si>
  <si>
    <t>ORD1079</t>
  </si>
  <si>
    <t>ORD1571</t>
  </si>
  <si>
    <t>ORD1028</t>
  </si>
  <si>
    <t>ORD1425</t>
  </si>
  <si>
    <t>ORD1513</t>
  </si>
  <si>
    <t>ORD1544</t>
  </si>
  <si>
    <t>ORD1673</t>
  </si>
  <si>
    <t>ORD1322</t>
  </si>
  <si>
    <t>ORD1237</t>
  </si>
  <si>
    <t>ORD1378</t>
  </si>
  <si>
    <t>$1725.55</t>
  </si>
  <si>
    <t>ORD1254</t>
  </si>
  <si>
    <t>ORD1605</t>
  </si>
  <si>
    <t>ORD1458</t>
  </si>
  <si>
    <t>ORD1796</t>
  </si>
  <si>
    <t>ORD1383</t>
  </si>
  <si>
    <t>ORD1313</t>
  </si>
  <si>
    <t>ORD1062</t>
  </si>
  <si>
    <t>ORD1792</t>
  </si>
  <si>
    <t>ORD1136</t>
  </si>
  <si>
    <t>ORD1194</t>
  </si>
  <si>
    <t>ORD1340</t>
  </si>
  <si>
    <t>ORD1178</t>
  </si>
  <si>
    <t>ORD1043</t>
  </si>
  <si>
    <t>ORD1593</t>
  </si>
  <si>
    <t>ORD1347</t>
  </si>
  <si>
    <t>ORD1457</t>
  </si>
  <si>
    <t>ORD1496</t>
  </si>
  <si>
    <t>ORD1682</t>
  </si>
  <si>
    <t>ORD1627</t>
  </si>
  <si>
    <t>ORD1293</t>
  </si>
  <si>
    <t>ORD1129</t>
  </si>
  <si>
    <t>ORD1733</t>
  </si>
  <si>
    <t>ORD1337</t>
  </si>
  <si>
    <t>ORD1218</t>
  </si>
  <si>
    <t>ORD1096</t>
  </si>
  <si>
    <t>ORD1124</t>
  </si>
  <si>
    <t>ORD1771</t>
  </si>
  <si>
    <t>ORD1226</t>
  </si>
  <si>
    <t>ORD1268</t>
  </si>
  <si>
    <t>ORD1785</t>
  </si>
  <si>
    <t>ORD1103</t>
  </si>
  <si>
    <t>ORD1692</t>
  </si>
  <si>
    <t>ORD1227</t>
  </si>
  <si>
    <t>ORD1715</t>
  </si>
  <si>
    <t>ORD1301</t>
  </si>
  <si>
    <t>ORD1275</t>
  </si>
  <si>
    <t>ORD1126</t>
  </si>
  <si>
    <t>ORD1405</t>
  </si>
  <si>
    <t>ORD1720</t>
  </si>
  <si>
    <t>ORD1036</t>
  </si>
  <si>
    <t>ORD1139</t>
  </si>
  <si>
    <t>ORD1303</t>
  </si>
  <si>
    <t>ORD1267</t>
  </si>
  <si>
    <t>ORD1212</t>
  </si>
  <si>
    <t>ORD1468</t>
  </si>
  <si>
    <t>ORD1198</t>
  </si>
  <si>
    <t>ORD1527</t>
  </si>
  <si>
    <t>ORD1642</t>
  </si>
  <si>
    <t>ORD1241</t>
  </si>
  <si>
    <t>ORD1342</t>
  </si>
  <si>
    <t>ORD1386</t>
  </si>
  <si>
    <t>ORD1696</t>
  </si>
  <si>
    <t>ORD1206</t>
  </si>
  <si>
    <t>ORD1295</t>
  </si>
  <si>
    <t>ORD1621</t>
  </si>
  <si>
    <t>ORD1073</t>
  </si>
  <si>
    <t>ORD1104</t>
  </si>
  <si>
    <t>ORD1659</t>
  </si>
  <si>
    <t>ORD1774</t>
  </si>
  <si>
    <t>ORD1016</t>
  </si>
  <si>
    <t>ORD1439</t>
  </si>
  <si>
    <t>ORD1091</t>
  </si>
  <si>
    <t>ORD1088</t>
  </si>
  <si>
    <t>ORD1450</t>
  </si>
  <si>
    <t>ORD1102</t>
  </si>
  <si>
    <t>ORD1238</t>
  </si>
  <si>
    <t>ORD1782</t>
  </si>
  <si>
    <t>ORD1246</t>
  </si>
  <si>
    <t>ORD1578</t>
  </si>
  <si>
    <t>ORD1157</t>
  </si>
  <si>
    <t>ORD1479</t>
  </si>
  <si>
    <t>ORD1684</t>
  </si>
  <si>
    <t>ORD1666</t>
  </si>
  <si>
    <t>ORD1018</t>
  </si>
  <si>
    <t>ORD1581</t>
  </si>
  <si>
    <t>ORD1121</t>
  </si>
  <si>
    <t>ORD1572</t>
  </si>
  <si>
    <t>ORD1274</t>
  </si>
  <si>
    <t>ORD1433</t>
  </si>
  <si>
    <t>ORD1724</t>
  </si>
  <si>
    <t>ORD1311</t>
  </si>
  <si>
    <t>ORD1613</t>
  </si>
  <si>
    <t>$271.22</t>
  </si>
  <si>
    <t>ORD1675</t>
  </si>
  <si>
    <t>ORD1546</t>
  </si>
  <si>
    <t>ORD1181</t>
  </si>
  <si>
    <t>ORD1184</t>
  </si>
  <si>
    <t>ORD1406</t>
  </si>
  <si>
    <t>ORD1520</t>
  </si>
  <si>
    <t>ORD1380</t>
  </si>
  <si>
    <t>ORD1410</t>
  </si>
  <si>
    <t>$1370.79</t>
  </si>
  <si>
    <t>ORD1369</t>
  </si>
  <si>
    <t>ORD1658</t>
  </si>
  <si>
    <t>ORD1609</t>
  </si>
  <si>
    <t>ORD1078</t>
  </si>
  <si>
    <t>ORD1573</t>
  </si>
  <si>
    <t>ORD1643</t>
  </si>
  <si>
    <t>ORD1797</t>
  </si>
  <si>
    <t>ORD1671</t>
  </si>
  <si>
    <t>ORD1760</t>
  </si>
  <si>
    <t>ORD1416</t>
  </si>
  <si>
    <t>ORD1677</t>
  </si>
  <si>
    <t>ORD1561</t>
  </si>
  <si>
    <t>ORD1067</t>
  </si>
  <si>
    <t>ORD1536</t>
  </si>
  <si>
    <t>ORD1077</t>
  </si>
  <si>
    <t>ORD1105</t>
  </si>
  <si>
    <t>ORD1630</t>
  </si>
  <si>
    <t>ORD1559</t>
  </si>
  <si>
    <t>ORD1790</t>
  </si>
  <si>
    <t>ORD1755</t>
  </si>
  <si>
    <t>ORD1651</t>
  </si>
  <si>
    <t>ORD1490</t>
  </si>
  <si>
    <t>ORD1683</t>
  </si>
  <si>
    <t>ORD1363</t>
  </si>
  <si>
    <t>ORD1069</t>
  </si>
  <si>
    <t>ORD1548</t>
  </si>
  <si>
    <t>ORD1160</t>
  </si>
  <si>
    <t>ORD1011</t>
  </si>
  <si>
    <t>ORD1144</t>
  </si>
  <si>
    <t>ORD1517</t>
  </si>
  <si>
    <t>ORD1427</t>
  </si>
  <si>
    <t>ORD1176</t>
  </si>
  <si>
    <t>ORD1440</t>
  </si>
  <si>
    <t>ORD1521</t>
  </si>
  <si>
    <t>ORD1705</t>
  </si>
  <si>
    <t>ORD1759</t>
  </si>
  <si>
    <t>ORD1231</t>
  </si>
  <si>
    <t>ORD1210</t>
  </si>
  <si>
    <t>ORD1143</t>
  </si>
  <si>
    <t>ORD1519</t>
  </si>
  <si>
    <t>ORD1298</t>
  </si>
  <si>
    <t>ORD1428</t>
  </si>
  <si>
    <t>ORD1612</t>
  </si>
  <si>
    <t>ORD1748</t>
  </si>
  <si>
    <t>ORD1156</t>
  </si>
  <si>
    <t>ORD1539</t>
  </si>
  <si>
    <t>ORD1506</t>
  </si>
  <si>
    <t>ORD1436</t>
  </si>
  <si>
    <t>ORD1266</t>
  </si>
  <si>
    <t>ORD1461</t>
  </si>
  <si>
    <t>ORD1576</t>
  </si>
  <si>
    <t>ORD1338</t>
  </si>
  <si>
    <t>ORD1255</t>
  </si>
  <si>
    <t>ORD1653</t>
  </si>
  <si>
    <t>ORD1689</t>
  </si>
  <si>
    <t>ORD1560</t>
  </si>
  <si>
    <t>ORD1208</t>
  </si>
  <si>
    <t>ORD1287</t>
  </si>
  <si>
    <t>ORD1001</t>
  </si>
  <si>
    <t>ORD1341</t>
  </si>
  <si>
    <t>ORD1269</t>
  </si>
  <si>
    <t>ORD1265</t>
  </si>
  <si>
    <t>ORD1676</t>
  </si>
  <si>
    <t>ORD1665</t>
  </si>
  <si>
    <t>ORD1095</t>
  </si>
  <si>
    <t>ORD1780</t>
  </si>
  <si>
    <t>ORD1042</t>
  </si>
  <si>
    <t>ORD1652</t>
  </si>
  <si>
    <t>ORD1674</t>
  </si>
  <si>
    <t>ORD1628</t>
  </si>
  <si>
    <t>ORD1045</t>
  </si>
  <si>
    <t>ORD1161</t>
  </si>
  <si>
    <t>ORD1629</t>
  </si>
  <si>
    <t>ORD1288</t>
  </si>
  <si>
    <t>ORD1589</t>
  </si>
  <si>
    <t>ORD1722</t>
  </si>
  <si>
    <t>ORD1767</t>
  </si>
  <si>
    <t>ORD1575</t>
  </si>
  <si>
    <t>ORD1315</t>
  </si>
  <si>
    <t>ORD1230</t>
  </si>
  <si>
    <t>ORD1668</t>
  </si>
  <si>
    <t>ORD1076</t>
  </si>
  <si>
    <t>ORD1633</t>
  </si>
  <si>
    <t>ORD1784</t>
  </si>
  <si>
    <t>ORD1247</t>
  </si>
  <si>
    <t>ORD1476</t>
  </si>
  <si>
    <t>ORD1085</t>
  </si>
  <si>
    <t>ORD1469</t>
  </si>
  <si>
    <t>ORD1225</t>
  </si>
  <si>
    <t>ORD1331</t>
  </si>
  <si>
    <t>ORD1233</t>
  </si>
  <si>
    <t>ORD1588</t>
  </si>
  <si>
    <t>ORD1475</t>
  </si>
  <si>
    <t>ORD1721</t>
  </si>
  <si>
    <t>ORD1706</t>
  </si>
  <si>
    <t>ORD1599</t>
  </si>
  <si>
    <t>ORD1421</t>
  </si>
  <si>
    <t>ORD1182</t>
  </si>
  <si>
    <t>ORD1617</t>
  </si>
  <si>
    <t>$400.8</t>
  </si>
  <si>
    <t>ORD1332</t>
  </si>
  <si>
    <t>ORD1438</t>
  </si>
  <si>
    <t>ORD1049</t>
  </si>
  <si>
    <t>ORD1005</t>
  </si>
  <si>
    <t>ORD1529</t>
  </si>
  <si>
    <t>ORD1234</t>
  </si>
  <si>
    <t>ORD1486</t>
  </si>
  <si>
    <t>ORD1799</t>
  </si>
  <si>
    <t>ORD1497</t>
  </si>
  <si>
    <t>ORD1727</t>
  </si>
  <si>
    <t>ORD1106</t>
  </si>
  <si>
    <t>ORD1443</t>
  </si>
  <si>
    <t>ORD1488</t>
  </si>
  <si>
    <t>ORD1646</t>
  </si>
  <si>
    <t>ORD1012</t>
  </si>
  <si>
    <t>ORD1190</t>
  </si>
  <si>
    <t>ORD1282</t>
  </si>
  <si>
    <t>ORD1029</t>
  </si>
  <si>
    <t>ORD1169</t>
  </si>
  <si>
    <t>ORD1180</t>
  </si>
  <si>
    <t>ORD1100</t>
  </si>
  <si>
    <t>ORD1197</t>
  </si>
  <si>
    <t>$1236.89</t>
  </si>
  <si>
    <t>ORD1495</t>
  </si>
  <si>
    <t>ORD1647</t>
  </si>
  <si>
    <t>ORD1788</t>
  </si>
  <si>
    <t>ORD1753</t>
  </si>
  <si>
    <t>ORD1373</t>
  </si>
  <si>
    <t>ORD1678</t>
  </si>
  <si>
    <t>ORD1718</t>
  </si>
  <si>
    <t>ORD1648</t>
  </si>
  <si>
    <t>ORD1460</t>
  </si>
  <si>
    <t>ORD1413</t>
  </si>
  <si>
    <t>ORD1131</t>
  </si>
  <si>
    <t>ORD1039</t>
  </si>
  <si>
    <t>ORD1434</t>
  </si>
  <si>
    <t>ORD1215</t>
  </si>
  <si>
    <t>ORD1555</t>
  </si>
  <si>
    <t>ORD1566</t>
  </si>
  <si>
    <t>ORD1474</t>
  </si>
  <si>
    <t>ORD1456</t>
  </si>
  <si>
    <t>ORD1260</t>
  </si>
  <si>
    <t>ORD1035</t>
  </si>
  <si>
    <t>ORD1309</t>
  </si>
  <si>
    <t>ORD1276</t>
  </si>
  <si>
    <t>ORD1636</t>
  </si>
  <si>
    <t>ORD1654</t>
  </si>
  <si>
    <t>ORD1622</t>
  </si>
  <si>
    <t>ORD1393</t>
  </si>
  <si>
    <t>ORD1107</t>
  </si>
  <si>
    <t>ORD1765</t>
  </si>
  <si>
    <t>ORD1524</t>
  </si>
  <si>
    <t>ORD1047</t>
  </si>
  <si>
    <t>ORD1203</t>
  </si>
  <si>
    <t>ORD1750</t>
  </si>
  <si>
    <t>ORD1631</t>
  </si>
  <si>
    <t>ORD1021</t>
  </si>
  <si>
    <t>ORD1402</t>
  </si>
  <si>
    <t>ORD1083</t>
  </si>
  <si>
    <t>ORD1130</t>
  </si>
  <si>
    <t>ORD1415</t>
  </si>
  <si>
    <t>ORD1741</t>
  </si>
  <si>
    <t>ORD1697</t>
  </si>
  <si>
    <t>ORD1286</t>
  </si>
  <si>
    <t>ORD1123</t>
  </si>
  <si>
    <t>ORD1033</t>
  </si>
  <si>
    <t>ORD1516</t>
  </si>
  <si>
    <t>ORD1019</t>
  </si>
  <si>
    <t>ORD1751</t>
  </si>
  <si>
    <t>ORD1219</t>
  </si>
  <si>
    <t>ORD1481</t>
  </si>
  <si>
    <t>ORD1356</t>
  </si>
  <si>
    <t>ORD1661</t>
  </si>
  <si>
    <t>ORD1224</t>
  </si>
  <si>
    <t>ORD1092</t>
  </si>
  <si>
    <t>ORD1151</t>
  </si>
  <si>
    <t>ORD1795</t>
  </si>
  <si>
    <t>ORD1317</t>
  </si>
  <si>
    <t>ORD1448</t>
  </si>
  <si>
    <t>ORD1745</t>
  </si>
  <si>
    <t>ORD1522</t>
  </si>
  <si>
    <t>ORD1279</t>
  </si>
  <si>
    <t>ORD1583</t>
  </si>
  <si>
    <t>ORD1604</t>
  </si>
  <si>
    <t>ORD1374</t>
  </si>
  <si>
    <t>ORD1400</t>
  </si>
  <si>
    <t>ORD1704</t>
  </si>
  <si>
    <t>ORD1257</t>
  </si>
  <si>
    <t>ORD1072</t>
  </si>
  <si>
    <t>ORD1195</t>
  </si>
  <si>
    <t>ORD1483</t>
  </si>
  <si>
    <t>ORD1137</t>
  </si>
  <si>
    <t>ORD1494</t>
  </si>
  <si>
    <t>ORD1772</t>
  </si>
  <si>
    <t>ORD1550</t>
  </si>
  <si>
    <t>ORD1462</t>
  </si>
  <si>
    <t>ORD1201</t>
  </si>
  <si>
    <t>ORD1312</t>
  </si>
  <si>
    <t>ORD1290</t>
  </si>
  <si>
    <t>ORD1189</t>
  </si>
  <si>
    <t>ORD1763</t>
  </si>
  <si>
    <t>ORD1112</t>
  </si>
  <si>
    <t>ORD1183</t>
  </si>
  <si>
    <t>ORD1152</t>
  </si>
  <si>
    <t>ORD1325</t>
  </si>
  <si>
    <t>ORD1044</t>
  </si>
  <si>
    <t>ORD1444</t>
  </si>
  <si>
    <t>ORD1787</t>
  </si>
  <si>
    <t>ORD1006</t>
  </si>
  <si>
    <t>$1579.01</t>
  </si>
  <si>
    <t>ORD1250</t>
  </si>
  <si>
    <t>ORD1075</t>
  </si>
  <si>
    <t>ORD1512</t>
  </si>
  <si>
    <t>ORD1391</t>
  </si>
  <si>
    <t>ORD1432</t>
  </si>
  <si>
    <t>ORD1068</t>
  </si>
  <si>
    <t>ORD1167</t>
  </si>
  <si>
    <t>ORD1730</t>
  </si>
  <si>
    <t>ORD1554</t>
  </si>
  <si>
    <t>$373.63</t>
  </si>
  <si>
    <t>ORD1366</t>
  </si>
  <si>
    <t>ORD1345</t>
  </si>
  <si>
    <t>ORD1584</t>
  </si>
  <si>
    <t>ORD1535</t>
  </si>
  <si>
    <t>ORD1398</t>
  </si>
  <si>
    <t>ORD1185</t>
  </si>
  <si>
    <t>ORD1348</t>
  </si>
  <si>
    <t>ORD1615</t>
  </si>
  <si>
    <t>ORD1211</t>
  </si>
  <si>
    <t>ORD1579</t>
  </si>
  <si>
    <t>ORD1502</t>
  </si>
  <si>
    <t>ORD1537</t>
  </si>
  <si>
    <t>ORD1196</t>
  </si>
  <si>
    <t>unit_price fixed</t>
  </si>
  <si>
    <t>Webcam Hd</t>
  </si>
  <si>
    <t>no rating</t>
  </si>
  <si>
    <t>revenue_before_discount</t>
  </si>
  <si>
    <t>revenue_after_discount</t>
  </si>
  <si>
    <t>Unkown</t>
  </si>
  <si>
    <t>Row Labels</t>
  </si>
  <si>
    <t>Grand Total</t>
  </si>
  <si>
    <t>Sum of revenue_after_discount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</si>
  <si>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</si>
  <si>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</si>
  <si>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</si>
  <si>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</si>
  <si>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</si>
  <si>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</si>
  <si>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</si>
  <si>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</si>
  <si>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</si>
  <si>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</si>
  <si>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</si>
  <si>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</si>
  <si>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</si>
  <si>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Average of customer_rating</t>
  </si>
  <si>
    <t>Average of unit_price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</si>
</sst>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64.628506250003" createdVersion="6" refreshedVersion="6" minRefreshableVersion="3" recordCount="791" xr:uid="{00000000-000A-0000-FFFF-FFFF03000000}">
  <cacheSource type="worksheet">
    <worksheetSource ref="A1:L792" sheet="Working"/>
  </cacheSource>
  <cacheFields count="13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 count="322">
        <d v="2025-01-13T00:00:00"/>
        <d v="2025-02-22T00:00:00"/>
        <d v="2025-02-17T00:00:00"/>
        <d v="2025-10-15T00:00:00"/>
        <d v="2025-08-18T00:00:00"/>
        <d v="2025-06-24T00:00:00"/>
        <d v="2025-06-26T00:00:00"/>
        <d v="2025-07-13T00:00:00"/>
        <d v="2025-11-13T00:00:00"/>
        <d v="2025-01-24T00:00:00"/>
        <d v="2025-02-21T00:00:00"/>
        <d v="2025-07-06T00:00:00"/>
        <d v="2025-05-17T00:00:00"/>
        <d v="2025-05-06T00:00:00"/>
        <d v="2025-12-19T00:00:00"/>
        <d v="2025-01-29T00:00:00"/>
        <d v="2025-02-03T00:00:00"/>
        <d v="2025-09-13T00:00:00"/>
        <d v="2025-03-13T00:00:00"/>
        <d v="2025-10-27T00:00:00"/>
        <d v="2025-03-12T00:00:00"/>
        <d v="2025-03-20T00:00:00"/>
        <d v="2025-07-17T00:00:00"/>
        <d v="2025-10-11T00:00:00"/>
        <d v="2025-08-21T00:00:00"/>
        <d v="2025-04-02T00:00:00"/>
        <d v="2025-09-17T00:00:00"/>
        <d v="2025-10-04T00:00:00"/>
        <d v="2025-02-27T00:00:00"/>
        <d v="2025-10-18T00:00:00"/>
        <d v="2025-09-30T00:00:00"/>
        <d v="2025-05-16T00:00:00"/>
        <d v="2025-12-20T00:00:00"/>
        <d v="2025-11-29T00:00:00"/>
        <d v="2025-05-07T00:00:00"/>
        <d v="2025-12-29T00:00:00"/>
        <d v="2025-06-19T00:00:00"/>
        <d v="2025-09-06T00:00:00"/>
        <d v="2025-10-23T00:00:00"/>
        <d v="2025-04-08T00:00:00"/>
        <d v="2025-07-30T00:00:00"/>
        <d v="2025-11-27T00:00:00"/>
        <d v="2025-02-25T00:00:00"/>
        <d v="2025-02-08T00:00:00"/>
        <d v="2025-03-26T00:00:00"/>
        <d v="2025-09-07T00:00:00"/>
        <d v="2025-10-24T00:00:00"/>
        <d v="2025-09-18T00:00:00"/>
        <d v="2025-12-12T00:00:00"/>
        <d v="2025-10-26T00:00:00"/>
        <d v="2025-06-10T00:00:00"/>
        <d v="2025-02-07T00:00:00"/>
        <d v="2025-04-20T00:00:00"/>
        <d v="2025-10-06T00:00:00"/>
        <d v="2025-05-25T00:00:00"/>
        <d v="2025-11-21T00:00:00"/>
        <d v="2025-01-27T00:00:00"/>
        <d v="2025-01-23T00:00:00"/>
        <d v="2025-03-24T00:00:00"/>
        <d v="2025-07-09T00:00:00"/>
        <d v="2025-12-08T00:00:00"/>
        <d v="2025-07-28T00:00:00"/>
        <d v="2025-04-01T00:00:00"/>
        <d v="2025-08-24T00:00:00"/>
        <d v="2025-12-04T00:00:00"/>
        <d v="2025-02-05T00:00:00"/>
        <d v="2025-10-02T00:00:00"/>
        <d v="2025-01-01T00:00:00"/>
        <d v="2025-12-23T00:00:00"/>
        <d v="2025-12-07T00:00:00"/>
        <d v="2025-06-04T00:00:00"/>
        <d v="2025-04-18T00:00:00"/>
        <d v="2025-08-15T00:00:00"/>
        <d v="2025-03-28T00:00:00"/>
        <d v="2025-11-14T00:00:00"/>
        <d v="2025-04-26T00:00:00"/>
        <d v="2025-09-01T00:00:00"/>
        <d v="2025-10-22T00:00:00"/>
        <d v="2025-05-05T00:00:00"/>
        <d v="2025-02-24T00:00:00"/>
        <d v="2025-09-23T00:00:00"/>
        <d v="2025-03-04T00:00:00"/>
        <d v="2025-10-14T00:00:00"/>
        <d v="2025-10-08T00:00:00"/>
        <d v="2025-05-21T00:00:00"/>
        <d v="2025-06-21T00:00:00"/>
        <d v="2025-04-29T00:00:00"/>
        <d v="2025-02-02T00:00:00"/>
        <d v="2025-08-01T00:00:00"/>
        <d v="2025-06-30T00:00:00"/>
        <d v="2025-10-07T00:00:00"/>
        <d v="2025-07-27T00:00:00"/>
        <d v="2025-01-14T00:00:00"/>
        <d v="2025-08-08T00:00:00"/>
        <d v="2025-07-14T00:00:00"/>
        <d v="2025-08-29T00:00:00"/>
        <d v="2025-04-25T00:00:00"/>
        <d v="2025-08-31T00:00:00"/>
        <d v="2025-05-12T00:00:00"/>
        <d v="2025-03-25T00:00:00"/>
        <d v="2025-11-04T00:00:00"/>
        <d v="2025-01-07T00:00:00"/>
        <d v="2025-11-22T00:00:00"/>
        <d v="2025-09-25T00:00:00"/>
        <d v="2025-08-27T00:00:00"/>
        <d v="2025-08-26T00:00:00"/>
        <d v="2025-06-16T00:00:00"/>
        <d v="2025-05-13T00:00:00"/>
        <d v="2025-09-22T00:00:00"/>
        <d v="2025-09-08T00:00:00"/>
        <d v="2025-09-09T00:00:00"/>
        <d v="2025-09-29T00:00:00"/>
        <d v="2025-12-26T00:00:00"/>
        <d v="2025-03-03T00:00:00"/>
        <d v="2025-05-22T00:00:00"/>
        <d v="2025-07-04T00:00:00"/>
        <d v="2025-03-06T00:00:00"/>
        <d v="2025-12-24T00:00:00"/>
        <d v="2025-04-05T00:00:00"/>
        <d v="2025-12-18T00:00:00"/>
        <d v="2025-06-05T00:00:00"/>
        <d v="2025-08-02T00:00:00"/>
        <d v="2025-06-02T00:00:00"/>
        <d v="2025-02-20T00:00:00"/>
        <d v="2025-02-11T00:00:00"/>
        <d v="2025-03-22T00:00:00"/>
        <d v="2025-11-17T00:00:00"/>
        <d v="2025-11-28T00:00:00"/>
        <d v="2025-08-28T00:00:00"/>
        <d v="2025-08-10T00:00:00"/>
        <d v="2025-04-28T00:00:00"/>
        <d v="2025-03-31T00:00:00"/>
        <d v="2025-04-03T00:00:00"/>
        <d v="2025-06-28T00:00:00"/>
        <d v="2025-07-25T00:00:00"/>
        <d v="2025-06-15T00:00:00"/>
        <d v="2025-12-03T00:00:00"/>
        <d v="2025-07-05T00:00:00"/>
        <d v="2025-04-15T00:00:00"/>
        <d v="2025-08-13T00:00:00"/>
        <d v="2025-05-03T00:00:00"/>
        <d v="2025-05-20T00:00:00"/>
        <d v="2025-10-10T00:00:00"/>
        <d v="2025-08-17T00:00:00"/>
        <d v="2025-07-15T00:00:00"/>
        <d v="2025-08-22T00:00:00"/>
        <d v="2025-12-02T00:00:00"/>
        <d v="2025-06-23T00:00:00"/>
        <d v="2025-01-19T00:00:00"/>
        <d v="2025-02-16T00:00:00"/>
        <d v="2025-12-22T00:00:00"/>
        <d v="2025-02-10T00:00:00"/>
        <d v="2025-03-15T00:00:00"/>
        <d v="2025-11-24T00:00:00"/>
        <d v="2025-01-12T00:00:00"/>
        <d v="2025-12-14T00:00:00"/>
        <d v="2025-07-07T00:00:00"/>
        <d v="2025-09-04T00:00:00"/>
        <d v="2025-07-22T00:00:00"/>
        <d v="2025-07-08T00:00:00"/>
        <d v="2025-07-10T00:00:00"/>
        <d v="2025-03-01T00:00:00"/>
        <d v="2025-03-21T00:00:00"/>
        <d v="2025-11-12T00:00:00"/>
        <d v="2025-04-22T00:00:00"/>
        <d v="2025-04-19T00:00:00"/>
        <d v="2025-10-17T00:00:00"/>
        <d v="2025-04-21T00:00:00"/>
        <d v="2025-01-02T00:00:00"/>
        <d v="2025-07-03T00:00:00"/>
        <d v="2025-08-16T00:00:00"/>
        <d v="2025-02-04T00:00:00"/>
        <d v="2025-06-09T00:00:00"/>
        <d v="2025-10-12T00:00:00"/>
        <d v="2025-01-16T00:00:00"/>
        <d v="2025-08-03T00:00:00"/>
        <d v="2025-12-05T00:00:00"/>
        <d v="2025-09-12T00:00:00"/>
        <d v="2025-12-27T00:00:00"/>
        <d v="2025-07-01T00:00:00"/>
        <d v="2025-12-30T00:00:00"/>
        <d v="2025-10-29T00:00:00"/>
        <d v="2025-06-08T00:00:00"/>
        <d v="2025-02-09T00:00:00"/>
        <d v="2025-03-16T00:00:00"/>
        <d v="2025-10-16T00:00:00"/>
        <d v="2025-06-11T00:00:00"/>
        <d v="2025-11-20T00:00:00"/>
        <d v="2025-01-22T00:00:00"/>
        <d v="2025-06-25T00:00:00"/>
        <d v="2025-02-18T00:00:00"/>
        <d v="2025-03-14T00:00:00"/>
        <d v="2025-06-18T00:00:00"/>
        <d v="2025-12-10T00:00:00"/>
        <d v="2025-04-09T00:00:00"/>
        <d v="2025-04-13T00:00:00"/>
        <d v="2025-05-26T00:00:00"/>
        <d v="2025-03-17T00:00:00"/>
        <d v="2025-07-11T00:00:00"/>
        <d v="2025-01-15T00:00:00"/>
        <d v="2025-01-10T00:00:00"/>
        <d v="2025-11-08T00:00:00"/>
        <d v="2025-11-15T00:00:00"/>
        <d v="2025-11-02T00:00:00"/>
        <d v="2025-05-04T00:00:00"/>
        <d v="2025-07-18T00:00:00"/>
        <d v="2025-06-20T00:00:00"/>
        <d v="2025-11-26T00:00:00"/>
        <d v="2025-08-23T00:00:00"/>
        <d v="2025-08-14T00:00:00"/>
        <d v="2025-08-06T00:00:00"/>
        <d v="2025-06-14T00:00:00"/>
        <d v="2025-06-06T00:00:00"/>
        <d v="2025-11-23T00:00:00"/>
        <d v="2025-11-06T00:00:00"/>
        <d v="2025-07-23T00:00:00"/>
        <d v="2025-03-02T00:00:00"/>
        <d v="2025-05-27T00:00:00"/>
        <d v="2025-12-16T00:00:00"/>
        <d v="2025-10-09T00:00:00"/>
        <d v="2025-12-25T00:00:00"/>
        <d v="2025-02-14T00:00:00"/>
        <d v="2025-09-03T00:00:00"/>
        <d v="2025-11-25T00:00:00"/>
        <d v="2025-10-20T00:00:00"/>
        <d v="2025-12-17T00:00:00"/>
        <d v="2025-01-31T00:00:00"/>
        <d v="2025-06-13T00:00:00"/>
        <d v="2025-09-21T00:00:00"/>
        <d v="2025-05-29T00:00:00"/>
        <d v="2025-03-23T00:00:00"/>
        <d v="2025-01-05T00:00:00"/>
        <d v="2025-10-19T00:00:00"/>
        <d v="2025-12-15T00:00:00"/>
        <d v="2025-01-09T00:00:00"/>
        <d v="2025-06-07T00:00:00"/>
        <d v="2025-03-29T00:00:00"/>
        <d v="2025-11-10T00:00:00"/>
        <d v="2025-09-27T00:00:00"/>
        <d v="2025-10-28T00:00:00"/>
        <d v="2025-08-30T00:00:00"/>
        <d v="2025-02-15T00:00:00"/>
        <d v="2025-04-06T00:00:00"/>
        <d v="2025-11-05T00:00:00"/>
        <d v="2025-06-22T00:00:00"/>
        <d v="2025-05-08T00:00:00"/>
        <d v="2025-04-24T00:00:00"/>
        <d v="2025-11-07T00:00:00"/>
        <d v="2025-10-03T00:00:00"/>
        <d v="2025-09-28T00:00:00"/>
        <d v="2025-06-17T00:00:00"/>
        <d v="2025-01-30T00:00:00"/>
        <d v="2025-03-11T00:00:00"/>
        <d v="2025-03-07T00:00:00"/>
        <d v="2025-12-11T00:00:00"/>
        <d v="2025-01-18T00:00:00"/>
        <d v="2025-10-13T00:00:00"/>
        <d v="2025-01-25T00:00:00"/>
        <d v="2025-09-26T00:00:00"/>
        <d v="2025-07-31T00:00:00"/>
        <d v="2025-03-19T00:00:00"/>
        <d v="2025-05-10T00:00:00"/>
        <d v="2025-06-03T00:00:00"/>
        <d v="2025-12-31T00:00:00"/>
        <d v="2025-08-12T00:00:00"/>
        <d v="2025-11-11T00:00:00"/>
        <d v="2025-08-19T00:00:00"/>
        <d v="2025-06-12T00:00:00"/>
        <d v="2025-05-18T00:00:00"/>
        <d v="2025-03-27T00:00:00"/>
        <d v="2025-09-11T00:00:00"/>
        <d v="2025-01-04T00:00:00"/>
        <d v="2025-11-30T00:00:00"/>
        <d v="2025-05-30T00:00:00"/>
        <d v="2025-05-24T00:00:00"/>
        <d v="2025-08-25T00:00:00"/>
        <d v="2025-10-01T00:00:00"/>
        <d v="2025-12-13T00:00:00"/>
        <d v="2025-06-01T00:00:00"/>
        <d v="2025-04-16T00:00:00"/>
        <d v="2025-04-12T00:00:00"/>
        <d v="2025-04-11T00:00:00"/>
        <d v="2025-10-30T00:00:00"/>
        <d v="2025-08-05T00:00:00"/>
        <d v="2025-03-30T00:00:00"/>
        <d v="2025-04-23T00:00:00"/>
        <d v="2025-05-28T00:00:00"/>
        <d v="2025-10-05T00:00:00"/>
        <d v="2025-01-17T00:00:00"/>
        <d v="2025-03-10T00:00:00"/>
        <d v="2025-11-09T00:00:00"/>
        <d v="2025-11-18T00:00:00"/>
        <d v="2025-07-16T00:00:00"/>
        <d v="2025-04-07T00:00:00"/>
        <d v="2025-03-09T00:00:00"/>
        <d v="2025-09-19T00:00:00"/>
        <d v="2025-10-21T00:00:00"/>
        <d v="2025-03-18T00:00:00"/>
        <d v="2025-07-12T00:00:00"/>
        <d v="2025-09-16T00:00:00"/>
        <d v="2025-05-14T00:00:00"/>
        <d v="2025-04-17T00:00:00"/>
        <d v="2025-08-20T00:00:00"/>
        <d v="2025-11-19T00:00:00"/>
        <d v="2025-09-10T00:00:00"/>
        <d v="2025-09-02T00:00:00"/>
        <d v="2025-02-23T00:00:00"/>
        <d v="2025-02-19T00:00:00"/>
        <d v="2025-05-31T00:00:00"/>
        <d v="2025-05-15T00:00:00"/>
        <d v="2025-09-24T00:00:00"/>
        <d v="2025-07-26T00:00:00"/>
        <d v="2025-12-06T00:00:00"/>
        <d v="2025-09-14T00:00:00"/>
        <d v="2025-07-29T00:00:00"/>
        <d v="2025-08-11T00:00:00"/>
        <d v="2025-01-03T00:00:00"/>
        <d v="2025-01-08T00:00:00"/>
        <d v="2025-05-11T00:00:00"/>
        <d v="2025-12-01T00:00:00"/>
        <d v="2025-01-21T00:00:00"/>
        <d v="2025-09-05T00:00:00"/>
      </sharedItems>
      <fieldGroup par="12" base="1">
        <rangePr groupBy="days" startDate="2025-01-01T00:00:00" endDate="2026-01-01T00:00:00"/>
        <groupItems count="368">
          <s v="&lt;01/01/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6"/>
        </groupItems>
      </fieldGroup>
    </cacheField>
    <cacheField name="product_name" numFmtId="0">
      <sharedItems count="9">
        <s v="Webcam Hd"/>
        <s v="Bluetooth Speaker"/>
        <s v="Wireless Mouse"/>
        <s v="Laptop Stand"/>
        <s v="Phone Case"/>
        <s v="Power Bank"/>
        <s v="USB-C Cable"/>
        <s v="Mechanical Keyboard"/>
        <s v="Desk Lamp"/>
      </sharedItems>
    </cacheField>
    <cacheField name="category" numFmtId="0">
      <sharedItems count="4">
        <s v="Electronics"/>
        <s v="Audio"/>
        <s v="Accessories"/>
        <s v="Home"/>
      </sharedItems>
    </cacheField>
    <cacheField name="region" numFmtId="0">
      <sharedItems containsBlank="1" count="7">
        <s v="North"/>
        <s v="South"/>
        <s v="West"/>
        <s v="East"/>
        <s v="Unkown"/>
        <m u="1"/>
        <s v="South " u="1"/>
      </sharedItems>
    </cacheField>
    <cacheField name="unit_price" numFmtId="0">
      <sharedItems containsString="0" containsBlank="1" containsNumber="1" minValue="123.11" maxValue="2908.4"/>
    </cacheField>
    <cacheField name="unit_price fixed" numFmtId="2">
      <sharedItems containsSemiMixedTypes="0" containsString="0" containsNumber="1" minValue="123.11" maxValue="2908.4"/>
    </cacheField>
    <cacheField name="quantity" numFmtId="0">
      <sharedItems containsSemiMixedTypes="0" containsString="0" containsNumber="1" containsInteger="1" minValue="1" maxValue="10"/>
    </cacheField>
    <cacheField name="discount_pct" numFmtId="0">
      <sharedItems containsSemiMixedTypes="0" containsString="0" containsNumber="1" minValue="0" maxValue="0.2"/>
    </cacheField>
    <cacheField name="customer_rating" numFmtId="0">
      <sharedItems containsMixedTypes="1" containsNumber="1" containsInteger="1" minValue="1" maxValue="5" count="6">
        <n v="4"/>
        <n v="5"/>
        <s v="no rating"/>
        <n v="3"/>
        <n v="2"/>
        <n v="1"/>
      </sharedItems>
    </cacheField>
    <cacheField name="revenue_before_discount" numFmtId="0">
      <sharedItems containsSemiMixedTypes="0" containsString="0" containsNumber="1" minValue="123.11" maxValue="24593.3"/>
    </cacheField>
    <cacheField name="revenue_after_discount" numFmtId="0">
      <sharedItems containsSemiMixedTypes="0" containsString="0" containsNumber="1" minValue="98.488" maxValue="20904.305"/>
    </cacheField>
    <cacheField name="Months" numFmtId="0" databaseField="0">
      <fieldGroup base="1">
        <rangePr groupBy="months" startDate="2025-01-01T00:00:00" endDate="2026-01-01T00:00:00"/>
        <groupItems count="14">
          <s v="&lt;01/01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6"/>
        </groupItems>
      </fieldGroup>
    </cacheField>
  </cacheFields>
  <extLst>
    <ext xmlns:x14="http://schemas.microsoft.com/office/spreadsheetml/2009/9/main" uri="{725AE2AE-9491-48be-B2B4-4EB974FC3084}">
      <x14:pivotCacheDefinition pivotCacheId="994393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">
  <r>
    <s v="ORD1000"/>
    <x v="0"/>
    <x v="0"/>
    <x v="0"/>
    <x v="0"/>
    <n v="1319.21"/>
    <n v="1319.21"/>
    <n v="2"/>
    <n v="0"/>
    <x v="0"/>
    <n v="2638.42"/>
    <n v="2638.42"/>
  </r>
  <r>
    <s v="ORD1001"/>
    <x v="1"/>
    <x v="1"/>
    <x v="1"/>
    <x v="1"/>
    <n v="1750.22"/>
    <n v="1750.22"/>
    <n v="1"/>
    <n v="0.15"/>
    <x v="1"/>
    <n v="1750.22"/>
    <n v="1487.6869999999999"/>
  </r>
  <r>
    <s v="ORD1002"/>
    <x v="2"/>
    <x v="2"/>
    <x v="0"/>
    <x v="0"/>
    <n v="1355.45"/>
    <n v="1355.45"/>
    <n v="2"/>
    <n v="0"/>
    <x v="2"/>
    <n v="2710.9"/>
    <n v="2710.9"/>
  </r>
  <r>
    <s v="ORD1003"/>
    <x v="3"/>
    <x v="0"/>
    <x v="0"/>
    <x v="0"/>
    <n v="1565.53"/>
    <n v="1565.53"/>
    <n v="2"/>
    <n v="0.2"/>
    <x v="2"/>
    <n v="3131.06"/>
    <n v="2504.848"/>
  </r>
  <r>
    <s v="ORD1004"/>
    <x v="4"/>
    <x v="3"/>
    <x v="2"/>
    <x v="1"/>
    <n v="333.61"/>
    <n v="333.61"/>
    <n v="2"/>
    <n v="0"/>
    <x v="3"/>
    <n v="667.22"/>
    <n v="667.22"/>
  </r>
  <r>
    <s v="ORD1005"/>
    <x v="5"/>
    <x v="4"/>
    <x v="2"/>
    <x v="2"/>
    <m/>
    <n v="336.57634615384626"/>
    <n v="2"/>
    <n v="0"/>
    <x v="0"/>
    <n v="673.15269230769252"/>
    <n v="673.15269230769252"/>
  </r>
  <r>
    <s v="ORD1006"/>
    <x v="1"/>
    <x v="5"/>
    <x v="0"/>
    <x v="3"/>
    <n v="1579.01"/>
    <n v="1579.01"/>
    <n v="1"/>
    <n v="0.1"/>
    <x v="4"/>
    <n v="1579.01"/>
    <n v="1421.1089999999999"/>
  </r>
  <r>
    <s v="ORD1007"/>
    <x v="6"/>
    <x v="6"/>
    <x v="2"/>
    <x v="3"/>
    <n v="403.72"/>
    <n v="403.72"/>
    <n v="2"/>
    <n v="0"/>
    <x v="1"/>
    <n v="807.44"/>
    <n v="807.44"/>
  </r>
  <r>
    <s v="ORD1008"/>
    <x v="7"/>
    <x v="7"/>
    <x v="0"/>
    <x v="0"/>
    <n v="1087.33"/>
    <n v="1087.33"/>
    <n v="1"/>
    <n v="0.15"/>
    <x v="0"/>
    <n v="1087.33"/>
    <n v="924.23049999999989"/>
  </r>
  <r>
    <s v="ORD1009"/>
    <x v="8"/>
    <x v="5"/>
    <x v="0"/>
    <x v="1"/>
    <n v="1330.21"/>
    <n v="1330.21"/>
    <n v="3"/>
    <n v="0.15"/>
    <x v="0"/>
    <n v="3990.63"/>
    <n v="3392.0355"/>
  </r>
  <r>
    <s v="ORD1010"/>
    <x v="9"/>
    <x v="4"/>
    <x v="2"/>
    <x v="0"/>
    <n v="317.56"/>
    <n v="317.56"/>
    <n v="2"/>
    <n v="0"/>
    <x v="4"/>
    <n v="635.12"/>
    <n v="635.12"/>
  </r>
  <r>
    <s v="ORD1011"/>
    <x v="10"/>
    <x v="5"/>
    <x v="0"/>
    <x v="1"/>
    <n v="1088.22"/>
    <n v="1088.22"/>
    <n v="5"/>
    <n v="0"/>
    <x v="1"/>
    <n v="5441.1"/>
    <n v="5441.1"/>
  </r>
  <r>
    <s v="ORD1012"/>
    <x v="11"/>
    <x v="0"/>
    <x v="0"/>
    <x v="3"/>
    <n v="1258.07"/>
    <n v="1258.07"/>
    <n v="1"/>
    <n v="0"/>
    <x v="1"/>
    <n v="1258.07"/>
    <n v="1258.07"/>
  </r>
  <r>
    <s v="ORD1013"/>
    <x v="12"/>
    <x v="1"/>
    <x v="1"/>
    <x v="1"/>
    <n v="1111.22"/>
    <n v="1111.22"/>
    <n v="1"/>
    <n v="0.15"/>
    <x v="3"/>
    <n v="1111.22"/>
    <n v="944.53700000000003"/>
  </r>
  <r>
    <s v="ORD1014"/>
    <x v="13"/>
    <x v="7"/>
    <x v="0"/>
    <x v="1"/>
    <n v="786.02"/>
    <n v="786.02"/>
    <n v="1"/>
    <n v="0.1"/>
    <x v="1"/>
    <n v="786.02"/>
    <n v="707.41800000000001"/>
  </r>
  <r>
    <s v="ORD1015"/>
    <x v="14"/>
    <x v="6"/>
    <x v="2"/>
    <x v="1"/>
    <n v="310.64"/>
    <n v="310.64"/>
    <n v="2"/>
    <n v="0.2"/>
    <x v="1"/>
    <n v="621.28"/>
    <n v="497.024"/>
  </r>
  <r>
    <s v="ORD1016"/>
    <x v="15"/>
    <x v="5"/>
    <x v="0"/>
    <x v="3"/>
    <n v="956.92"/>
    <n v="956.92"/>
    <n v="2"/>
    <n v="0"/>
    <x v="1"/>
    <n v="1913.84"/>
    <n v="1913.84"/>
  </r>
  <r>
    <s v="ORD1017"/>
    <x v="16"/>
    <x v="3"/>
    <x v="2"/>
    <x v="3"/>
    <n v="372"/>
    <n v="372"/>
    <n v="2"/>
    <n v="0.15"/>
    <x v="1"/>
    <n v="744"/>
    <n v="632.4"/>
  </r>
  <r>
    <s v="ORD1018"/>
    <x v="17"/>
    <x v="1"/>
    <x v="1"/>
    <x v="1"/>
    <n v="1473.11"/>
    <n v="1473.11"/>
    <n v="5"/>
    <n v="0.2"/>
    <x v="1"/>
    <n v="7365.5499999999993"/>
    <n v="5892.44"/>
  </r>
  <r>
    <s v="ORD1019"/>
    <x v="18"/>
    <x v="1"/>
    <x v="1"/>
    <x v="3"/>
    <n v="1291.57"/>
    <n v="1291.57"/>
    <n v="2"/>
    <n v="0.2"/>
    <x v="2"/>
    <n v="2583.14"/>
    <n v="2066.5120000000002"/>
  </r>
  <r>
    <s v="ORD1020"/>
    <x v="19"/>
    <x v="7"/>
    <x v="0"/>
    <x v="3"/>
    <n v="1551.76"/>
    <n v="1551.76"/>
    <n v="5"/>
    <n v="0.15"/>
    <x v="1"/>
    <n v="7758.8"/>
    <n v="6594.98"/>
  </r>
  <r>
    <s v="ORD1021"/>
    <x v="20"/>
    <x v="6"/>
    <x v="2"/>
    <x v="1"/>
    <n v="334.2"/>
    <n v="334.2"/>
    <n v="10"/>
    <n v="0"/>
    <x v="5"/>
    <n v="3342"/>
    <n v="3342"/>
  </r>
  <r>
    <s v="ORD1022"/>
    <x v="21"/>
    <x v="5"/>
    <x v="0"/>
    <x v="0"/>
    <n v="1216.21"/>
    <n v="1216.21"/>
    <n v="1"/>
    <n v="0.2"/>
    <x v="1"/>
    <n v="1216.21"/>
    <n v="972.96800000000007"/>
  </r>
  <r>
    <s v="ORD1023"/>
    <x v="22"/>
    <x v="0"/>
    <x v="0"/>
    <x v="0"/>
    <n v="858.06"/>
    <n v="858.06"/>
    <n v="5"/>
    <n v="0.15"/>
    <x v="1"/>
    <n v="4290.2999999999993"/>
    <n v="3646.7549999999992"/>
  </r>
  <r>
    <s v="ORD1024"/>
    <x v="23"/>
    <x v="7"/>
    <x v="0"/>
    <x v="3"/>
    <n v="1069.3499999999999"/>
    <n v="1069.3499999999999"/>
    <n v="1"/>
    <n v="0.2"/>
    <x v="4"/>
    <n v="1069.3499999999999"/>
    <n v="855.48"/>
  </r>
  <r>
    <s v="ORD1025"/>
    <x v="12"/>
    <x v="0"/>
    <x v="0"/>
    <x v="0"/>
    <n v="1226.6199999999999"/>
    <n v="1226.6199999999999"/>
    <n v="3"/>
    <n v="0"/>
    <x v="0"/>
    <n v="3679.8599999999997"/>
    <n v="3679.8599999999997"/>
  </r>
  <r>
    <s v="ORD1026"/>
    <x v="24"/>
    <x v="3"/>
    <x v="2"/>
    <x v="1"/>
    <n v="269.43"/>
    <n v="269.43"/>
    <n v="1"/>
    <n v="0.2"/>
    <x v="0"/>
    <n v="269.43"/>
    <n v="215.54400000000001"/>
  </r>
  <r>
    <s v="ORD1027"/>
    <x v="25"/>
    <x v="7"/>
    <x v="0"/>
    <x v="3"/>
    <n v="1290.17"/>
    <n v="1290.17"/>
    <n v="1"/>
    <n v="0.2"/>
    <x v="0"/>
    <n v="1290.17"/>
    <n v="1032.1360000000002"/>
  </r>
  <r>
    <s v="ORD1028"/>
    <x v="26"/>
    <x v="5"/>
    <x v="0"/>
    <x v="1"/>
    <n v="1055.8499999999999"/>
    <n v="1055.8499999999999"/>
    <n v="2"/>
    <n v="0"/>
    <x v="1"/>
    <n v="2111.6999999999998"/>
    <n v="2111.6999999999998"/>
  </r>
  <r>
    <s v="ORD1029"/>
    <x v="27"/>
    <x v="5"/>
    <x v="0"/>
    <x v="1"/>
    <n v="1129.99"/>
    <n v="1129.99"/>
    <n v="1"/>
    <n v="0.15"/>
    <x v="1"/>
    <n v="1129.99"/>
    <n v="960.49149999999997"/>
  </r>
  <r>
    <s v="ORD1030"/>
    <x v="28"/>
    <x v="3"/>
    <x v="2"/>
    <x v="0"/>
    <n v="307.88"/>
    <n v="307.88"/>
    <n v="3"/>
    <n v="0"/>
    <x v="0"/>
    <n v="923.64"/>
    <n v="923.64"/>
  </r>
  <r>
    <s v="ORD1031"/>
    <x v="29"/>
    <x v="2"/>
    <x v="0"/>
    <x v="1"/>
    <n v="1644.55"/>
    <n v="1644.55"/>
    <n v="1"/>
    <n v="0"/>
    <x v="1"/>
    <n v="1644.55"/>
    <n v="1644.55"/>
  </r>
  <r>
    <s v="ORD1032"/>
    <x v="30"/>
    <x v="5"/>
    <x v="0"/>
    <x v="0"/>
    <n v="1196.76"/>
    <n v="1196.76"/>
    <n v="1"/>
    <n v="0"/>
    <x v="1"/>
    <n v="1196.76"/>
    <n v="1196.76"/>
  </r>
  <r>
    <s v="ORD1033"/>
    <x v="31"/>
    <x v="7"/>
    <x v="0"/>
    <x v="1"/>
    <n v="946.15"/>
    <n v="946.15"/>
    <n v="5"/>
    <n v="0"/>
    <x v="2"/>
    <n v="4730.75"/>
    <n v="4730.75"/>
  </r>
  <r>
    <s v="ORD1034"/>
    <x v="32"/>
    <x v="5"/>
    <x v="0"/>
    <x v="1"/>
    <n v="1397.41"/>
    <n v="1397.41"/>
    <n v="2"/>
    <n v="0.2"/>
    <x v="0"/>
    <n v="2794.82"/>
    <n v="2235.8560000000002"/>
  </r>
  <r>
    <s v="ORD1035"/>
    <x v="33"/>
    <x v="3"/>
    <x v="2"/>
    <x v="1"/>
    <n v="264.54000000000002"/>
    <n v="264.54000000000002"/>
    <n v="3"/>
    <n v="0.1"/>
    <x v="2"/>
    <n v="793.62000000000012"/>
    <n v="714.25800000000015"/>
  </r>
  <r>
    <s v="ORD1036"/>
    <x v="34"/>
    <x v="3"/>
    <x v="2"/>
    <x v="4"/>
    <n v="364.62"/>
    <n v="364.62"/>
    <n v="2"/>
    <n v="0"/>
    <x v="1"/>
    <n v="729.24"/>
    <n v="729.24"/>
  </r>
  <r>
    <s v="ORD1037"/>
    <x v="23"/>
    <x v="2"/>
    <x v="0"/>
    <x v="0"/>
    <n v="729.68"/>
    <n v="729.68"/>
    <n v="2"/>
    <n v="0.15"/>
    <x v="0"/>
    <n v="1459.36"/>
    <n v="1240.4559999999999"/>
  </r>
  <r>
    <s v="ORD1038"/>
    <x v="35"/>
    <x v="2"/>
    <x v="0"/>
    <x v="0"/>
    <n v="881.24"/>
    <n v="881.24"/>
    <n v="1"/>
    <n v="0"/>
    <x v="4"/>
    <n v="881.24"/>
    <n v="881.24"/>
  </r>
  <r>
    <s v="ORD1039"/>
    <x v="36"/>
    <x v="8"/>
    <x v="3"/>
    <x v="0"/>
    <n v="623.62"/>
    <n v="623.62"/>
    <n v="1"/>
    <n v="0.15"/>
    <x v="0"/>
    <n v="623.62"/>
    <n v="530.077"/>
  </r>
  <r>
    <s v="ORD1040"/>
    <x v="37"/>
    <x v="6"/>
    <x v="2"/>
    <x v="1"/>
    <n v="401.69"/>
    <n v="401.69"/>
    <n v="2"/>
    <n v="0.15"/>
    <x v="3"/>
    <n v="803.38"/>
    <n v="682.87299999999993"/>
  </r>
  <r>
    <s v="ORD1041"/>
    <x v="38"/>
    <x v="4"/>
    <x v="2"/>
    <x v="0"/>
    <n v="362"/>
    <n v="362"/>
    <n v="10"/>
    <n v="0"/>
    <x v="1"/>
    <n v="3620"/>
    <n v="3620"/>
  </r>
  <r>
    <s v="ORD1042"/>
    <x v="39"/>
    <x v="5"/>
    <x v="0"/>
    <x v="2"/>
    <n v="1172.24"/>
    <n v="1172.24"/>
    <n v="1"/>
    <n v="0"/>
    <x v="1"/>
    <n v="1172.24"/>
    <n v="1172.24"/>
  </r>
  <r>
    <s v="ORD1043"/>
    <x v="40"/>
    <x v="6"/>
    <x v="2"/>
    <x v="2"/>
    <n v="328.92"/>
    <n v="328.92"/>
    <n v="10"/>
    <n v="0.2"/>
    <x v="5"/>
    <n v="3289.2000000000003"/>
    <n v="2631.3600000000006"/>
  </r>
  <r>
    <s v="ORD1044"/>
    <x v="41"/>
    <x v="0"/>
    <x v="0"/>
    <x v="1"/>
    <n v="845.15"/>
    <n v="845.15"/>
    <n v="1"/>
    <n v="0"/>
    <x v="1"/>
    <n v="845.15"/>
    <n v="845.15"/>
  </r>
  <r>
    <s v="ORD1045"/>
    <x v="42"/>
    <x v="4"/>
    <x v="2"/>
    <x v="3"/>
    <n v="299.61"/>
    <n v="299.61"/>
    <n v="2"/>
    <n v="0"/>
    <x v="0"/>
    <n v="599.22"/>
    <n v="599.22"/>
  </r>
  <r>
    <s v="ORD1046"/>
    <x v="18"/>
    <x v="7"/>
    <x v="0"/>
    <x v="2"/>
    <n v="1089.45"/>
    <n v="1089.45"/>
    <n v="5"/>
    <n v="0"/>
    <x v="0"/>
    <n v="5447.25"/>
    <n v="5447.25"/>
  </r>
  <r>
    <s v="ORD1047"/>
    <x v="43"/>
    <x v="3"/>
    <x v="2"/>
    <x v="1"/>
    <n v="424"/>
    <n v="424"/>
    <n v="10"/>
    <n v="0.15"/>
    <x v="4"/>
    <n v="4240"/>
    <n v="3604"/>
  </r>
  <r>
    <s v="ORD1048"/>
    <x v="27"/>
    <x v="2"/>
    <x v="0"/>
    <x v="1"/>
    <n v="1282.47"/>
    <n v="1282.47"/>
    <n v="1"/>
    <n v="0"/>
    <x v="0"/>
    <n v="1282.47"/>
    <n v="1282.47"/>
  </r>
  <r>
    <s v="ORD1049"/>
    <x v="37"/>
    <x v="1"/>
    <x v="1"/>
    <x v="2"/>
    <n v="1165.31"/>
    <n v="1165.31"/>
    <n v="10"/>
    <n v="0"/>
    <x v="1"/>
    <n v="11653.099999999999"/>
    <n v="11653.099999999999"/>
  </r>
  <r>
    <s v="ORD1050"/>
    <x v="44"/>
    <x v="8"/>
    <x v="3"/>
    <x v="0"/>
    <n v="638.89"/>
    <n v="638.89"/>
    <n v="5"/>
    <n v="0"/>
    <x v="1"/>
    <n v="3194.45"/>
    <n v="3194.45"/>
  </r>
  <r>
    <s v="ORD1051"/>
    <x v="24"/>
    <x v="6"/>
    <x v="2"/>
    <x v="3"/>
    <n v="323.04000000000002"/>
    <n v="323.04000000000002"/>
    <n v="2"/>
    <n v="0.1"/>
    <x v="2"/>
    <n v="646.08000000000004"/>
    <n v="581.47200000000009"/>
  </r>
  <r>
    <s v="ORD1052"/>
    <x v="45"/>
    <x v="0"/>
    <x v="0"/>
    <x v="1"/>
    <n v="1037.54"/>
    <n v="1037.54"/>
    <n v="1"/>
    <n v="0"/>
    <x v="0"/>
    <n v="1037.54"/>
    <n v="1037.54"/>
  </r>
  <r>
    <s v="ORD1053"/>
    <x v="46"/>
    <x v="1"/>
    <x v="1"/>
    <x v="0"/>
    <n v="2020.2"/>
    <n v="2020.2"/>
    <n v="1"/>
    <n v="0.2"/>
    <x v="1"/>
    <n v="2020.2"/>
    <n v="1616.16"/>
  </r>
  <r>
    <s v="ORD1054"/>
    <x v="19"/>
    <x v="2"/>
    <x v="0"/>
    <x v="0"/>
    <n v="1447.44"/>
    <n v="1447.44"/>
    <n v="10"/>
    <n v="0.15"/>
    <x v="2"/>
    <n v="14474.400000000001"/>
    <n v="12303.240000000002"/>
  </r>
  <r>
    <s v="ORD1055"/>
    <x v="47"/>
    <x v="1"/>
    <x v="1"/>
    <x v="0"/>
    <n v="2135.2600000000002"/>
    <n v="2135.2600000000002"/>
    <n v="1"/>
    <n v="0"/>
    <x v="4"/>
    <n v="2135.2600000000002"/>
    <n v="2135.2600000000002"/>
  </r>
  <r>
    <s v="ORD1056"/>
    <x v="48"/>
    <x v="0"/>
    <x v="0"/>
    <x v="0"/>
    <m/>
    <n v="1225.2512631578948"/>
    <n v="2"/>
    <n v="0.1"/>
    <x v="4"/>
    <n v="2450.5025263157895"/>
    <n v="2205.4522736842105"/>
  </r>
  <r>
    <s v="ORD1057"/>
    <x v="34"/>
    <x v="8"/>
    <x v="3"/>
    <x v="0"/>
    <n v="562.89"/>
    <n v="562.89"/>
    <n v="1"/>
    <n v="0.15"/>
    <x v="4"/>
    <n v="562.89"/>
    <n v="478.45649999999995"/>
  </r>
  <r>
    <s v="ORD1058"/>
    <x v="49"/>
    <x v="3"/>
    <x v="2"/>
    <x v="1"/>
    <n v="373.19"/>
    <n v="373.19"/>
    <n v="3"/>
    <n v="0"/>
    <x v="0"/>
    <n v="1119.57"/>
    <n v="1119.57"/>
  </r>
  <r>
    <s v="ORD1059"/>
    <x v="50"/>
    <x v="0"/>
    <x v="0"/>
    <x v="1"/>
    <n v="1434.13"/>
    <n v="1434.13"/>
    <n v="2"/>
    <n v="0"/>
    <x v="1"/>
    <n v="2868.26"/>
    <n v="2868.26"/>
  </r>
  <r>
    <s v="ORD1060"/>
    <x v="41"/>
    <x v="1"/>
    <x v="1"/>
    <x v="1"/>
    <n v="1627.5"/>
    <n v="1627.5"/>
    <n v="2"/>
    <n v="0.1"/>
    <x v="1"/>
    <n v="3255"/>
    <n v="2929.5"/>
  </r>
  <r>
    <s v="ORD1061"/>
    <x v="51"/>
    <x v="8"/>
    <x v="3"/>
    <x v="3"/>
    <n v="577.72"/>
    <n v="577.72"/>
    <n v="1"/>
    <n v="0.1"/>
    <x v="4"/>
    <n v="577.72"/>
    <n v="519.94800000000009"/>
  </r>
  <r>
    <s v="ORD1062"/>
    <x v="52"/>
    <x v="2"/>
    <x v="0"/>
    <x v="0"/>
    <n v="934.48"/>
    <n v="934.48"/>
    <n v="2"/>
    <n v="0"/>
    <x v="1"/>
    <n v="1868.96"/>
    <n v="1868.96"/>
  </r>
  <r>
    <s v="ORD1063"/>
    <x v="13"/>
    <x v="8"/>
    <x v="3"/>
    <x v="0"/>
    <n v="456.46"/>
    <n v="456.46"/>
    <n v="3"/>
    <n v="0"/>
    <x v="3"/>
    <n v="1369.3799999999999"/>
    <n v="1369.3799999999999"/>
  </r>
  <r>
    <s v="ORD1064"/>
    <x v="53"/>
    <x v="3"/>
    <x v="2"/>
    <x v="3"/>
    <n v="406.88"/>
    <n v="406.88"/>
    <n v="2"/>
    <n v="0.15"/>
    <x v="2"/>
    <n v="813.76"/>
    <n v="691.69600000000003"/>
  </r>
  <r>
    <s v="ORD1065"/>
    <x v="23"/>
    <x v="2"/>
    <x v="0"/>
    <x v="1"/>
    <n v="1525.5"/>
    <n v="1525.5"/>
    <n v="2"/>
    <n v="0.2"/>
    <x v="4"/>
    <n v="3051"/>
    <n v="2440.8000000000002"/>
  </r>
  <r>
    <s v="ORD1066"/>
    <x v="31"/>
    <x v="8"/>
    <x v="3"/>
    <x v="1"/>
    <n v="591.36"/>
    <n v="591.36"/>
    <n v="1"/>
    <n v="0"/>
    <x v="2"/>
    <n v="591.36"/>
    <n v="591.36"/>
  </r>
  <r>
    <s v="ORD1067"/>
    <x v="54"/>
    <x v="1"/>
    <x v="1"/>
    <x v="3"/>
    <n v="2161.27"/>
    <n v="2161.27"/>
    <n v="2"/>
    <n v="0.2"/>
    <x v="1"/>
    <n v="4322.54"/>
    <n v="3458.0320000000002"/>
  </r>
  <r>
    <s v="ORD1068"/>
    <x v="55"/>
    <x v="1"/>
    <x v="1"/>
    <x v="1"/>
    <n v="1930.19"/>
    <n v="1930.19"/>
    <n v="2"/>
    <n v="0.15"/>
    <x v="1"/>
    <n v="3860.38"/>
    <n v="3281.3229999999999"/>
  </r>
  <r>
    <s v="ORD1069"/>
    <x v="56"/>
    <x v="6"/>
    <x v="2"/>
    <x v="3"/>
    <n v="304.83999999999997"/>
    <n v="304.83999999999997"/>
    <n v="1"/>
    <n v="0.2"/>
    <x v="1"/>
    <n v="304.83999999999997"/>
    <n v="243.87199999999999"/>
  </r>
  <r>
    <s v="ORD1070"/>
    <x v="57"/>
    <x v="5"/>
    <x v="0"/>
    <x v="3"/>
    <n v="1286.73"/>
    <n v="1286.73"/>
    <n v="1"/>
    <n v="0"/>
    <x v="3"/>
    <n v="1286.73"/>
    <n v="1286.73"/>
  </r>
  <r>
    <s v="ORD1071"/>
    <x v="58"/>
    <x v="0"/>
    <x v="0"/>
    <x v="3"/>
    <n v="1569.13"/>
    <n v="1569.13"/>
    <n v="10"/>
    <n v="0.15"/>
    <x v="1"/>
    <n v="15691.300000000001"/>
    <n v="13337.605000000001"/>
  </r>
  <r>
    <s v="ORD1072"/>
    <x v="28"/>
    <x v="7"/>
    <x v="0"/>
    <x v="0"/>
    <n v="1191.4000000000001"/>
    <n v="1191.4000000000001"/>
    <n v="1"/>
    <n v="0.2"/>
    <x v="3"/>
    <n v="1191.4000000000001"/>
    <n v="953.12000000000012"/>
  </r>
  <r>
    <s v="ORD1073"/>
    <x v="59"/>
    <x v="7"/>
    <x v="0"/>
    <x v="0"/>
    <n v="1575.51"/>
    <n v="1575.51"/>
    <n v="1"/>
    <n v="0.1"/>
    <x v="3"/>
    <n v="1575.51"/>
    <n v="1417.9590000000001"/>
  </r>
  <r>
    <s v="ORD1074"/>
    <x v="11"/>
    <x v="2"/>
    <x v="0"/>
    <x v="3"/>
    <n v="571.26"/>
    <n v="571.26"/>
    <n v="1"/>
    <n v="0"/>
    <x v="0"/>
    <n v="571.26"/>
    <n v="571.26"/>
  </r>
  <r>
    <s v="ORD1075"/>
    <x v="60"/>
    <x v="0"/>
    <x v="0"/>
    <x v="1"/>
    <n v="1397.26"/>
    <n v="1397.26"/>
    <n v="1"/>
    <n v="0"/>
    <x v="2"/>
    <n v="1397.26"/>
    <n v="1397.26"/>
  </r>
  <r>
    <s v="ORD1076"/>
    <x v="61"/>
    <x v="8"/>
    <x v="3"/>
    <x v="3"/>
    <n v="610.45000000000005"/>
    <n v="610.45000000000005"/>
    <n v="1"/>
    <n v="0"/>
    <x v="3"/>
    <n v="610.45000000000005"/>
    <n v="610.45000000000005"/>
  </r>
  <r>
    <s v="ORD1077"/>
    <x v="62"/>
    <x v="5"/>
    <x v="0"/>
    <x v="3"/>
    <n v="1128.24"/>
    <n v="1128.24"/>
    <n v="5"/>
    <n v="0"/>
    <x v="3"/>
    <n v="5641.2"/>
    <n v="5641.2"/>
  </r>
  <r>
    <s v="ORD1078"/>
    <x v="40"/>
    <x v="4"/>
    <x v="2"/>
    <x v="3"/>
    <n v="356.42"/>
    <n v="356.42"/>
    <n v="2"/>
    <n v="0"/>
    <x v="3"/>
    <n v="712.84"/>
    <n v="712.84"/>
  </r>
  <r>
    <s v="ORD1079"/>
    <x v="42"/>
    <x v="5"/>
    <x v="0"/>
    <x v="1"/>
    <n v="722.98"/>
    <n v="722.98"/>
    <n v="5"/>
    <n v="0"/>
    <x v="1"/>
    <n v="3614.9"/>
    <n v="3614.9"/>
  </r>
  <r>
    <s v="ORD1080"/>
    <x v="63"/>
    <x v="1"/>
    <x v="1"/>
    <x v="1"/>
    <m/>
    <n v="1804.6623913043472"/>
    <n v="3"/>
    <n v="0"/>
    <x v="0"/>
    <n v="5413.9871739130413"/>
    <n v="5413.9871739130413"/>
  </r>
  <r>
    <s v="ORD1081"/>
    <x v="64"/>
    <x v="1"/>
    <x v="1"/>
    <x v="0"/>
    <n v="1928.56"/>
    <n v="1928.56"/>
    <n v="2"/>
    <n v="0.1"/>
    <x v="1"/>
    <n v="3857.12"/>
    <n v="3471.4079999999999"/>
  </r>
  <r>
    <s v="ORD1082"/>
    <x v="65"/>
    <x v="6"/>
    <x v="2"/>
    <x v="3"/>
    <n v="453.45"/>
    <n v="453.45"/>
    <n v="2"/>
    <n v="0"/>
    <x v="2"/>
    <n v="906.9"/>
    <n v="906.9"/>
  </r>
  <r>
    <s v="ORD1083"/>
    <x v="66"/>
    <x v="3"/>
    <x v="2"/>
    <x v="1"/>
    <n v="313.72000000000003"/>
    <n v="313.72000000000003"/>
    <n v="3"/>
    <n v="0"/>
    <x v="4"/>
    <n v="941.16000000000008"/>
    <n v="941.16000000000008"/>
  </r>
  <r>
    <s v="ORD1084"/>
    <x v="25"/>
    <x v="8"/>
    <x v="3"/>
    <x v="3"/>
    <n v="502.98"/>
    <n v="502.98"/>
    <n v="2"/>
    <n v="0"/>
    <x v="4"/>
    <n v="1005.96"/>
    <n v="1005.96"/>
  </r>
  <r>
    <s v="ORD1085"/>
    <x v="6"/>
    <x v="0"/>
    <x v="0"/>
    <x v="2"/>
    <n v="1079.58"/>
    <n v="1079.58"/>
    <n v="3"/>
    <n v="0.1"/>
    <x v="2"/>
    <n v="3238.74"/>
    <n v="2914.866"/>
  </r>
  <r>
    <s v="ORD1086"/>
    <x v="38"/>
    <x v="2"/>
    <x v="0"/>
    <x v="2"/>
    <n v="1419.7"/>
    <n v="1419.7"/>
    <n v="2"/>
    <n v="0"/>
    <x v="5"/>
    <n v="2839.4"/>
    <n v="2839.4"/>
  </r>
  <r>
    <s v="ORD1087"/>
    <x v="67"/>
    <x v="4"/>
    <x v="2"/>
    <x v="2"/>
    <n v="373.01"/>
    <n v="373.01"/>
    <n v="2"/>
    <n v="0"/>
    <x v="1"/>
    <n v="746.02"/>
    <n v="746.02"/>
  </r>
  <r>
    <s v="ORD1088"/>
    <x v="36"/>
    <x v="2"/>
    <x v="0"/>
    <x v="1"/>
    <n v="1072.8599999999999"/>
    <n v="1072.8599999999999"/>
    <n v="3"/>
    <n v="0.2"/>
    <x v="4"/>
    <n v="3218.58"/>
    <n v="2574.864"/>
  </r>
  <r>
    <s v="ORD1089"/>
    <x v="26"/>
    <x v="4"/>
    <x v="2"/>
    <x v="3"/>
    <n v="385.93"/>
    <n v="385.93"/>
    <n v="2"/>
    <n v="0.2"/>
    <x v="1"/>
    <n v="771.86"/>
    <n v="617.48800000000006"/>
  </r>
  <r>
    <s v="ORD1090"/>
    <x v="68"/>
    <x v="6"/>
    <x v="2"/>
    <x v="4"/>
    <m/>
    <n v="362.89299999999997"/>
    <n v="2"/>
    <n v="0.15"/>
    <x v="3"/>
    <n v="725.78599999999994"/>
    <n v="616.91809999999998"/>
  </r>
  <r>
    <s v="ORD1091"/>
    <x v="69"/>
    <x v="1"/>
    <x v="1"/>
    <x v="2"/>
    <n v="2148.71"/>
    <n v="2148.71"/>
    <n v="5"/>
    <n v="0.2"/>
    <x v="3"/>
    <n v="10743.55"/>
    <n v="8594.84"/>
  </r>
  <r>
    <s v="ORD1092"/>
    <x v="70"/>
    <x v="0"/>
    <x v="0"/>
    <x v="0"/>
    <n v="1031.51"/>
    <n v="1031.51"/>
    <n v="5"/>
    <n v="0.15"/>
    <x v="5"/>
    <n v="5157.55"/>
    <n v="4383.9175000000005"/>
  </r>
  <r>
    <s v="ORD1093"/>
    <x v="71"/>
    <x v="6"/>
    <x v="2"/>
    <x v="4"/>
    <n v="327.06"/>
    <n v="327.06"/>
    <n v="5"/>
    <n v="0.15"/>
    <x v="1"/>
    <n v="1635.3"/>
    <n v="1390.0049999999999"/>
  </r>
  <r>
    <s v="ORD1094"/>
    <x v="72"/>
    <x v="3"/>
    <x v="2"/>
    <x v="2"/>
    <n v="322.55"/>
    <n v="322.55"/>
    <n v="2"/>
    <n v="0.15"/>
    <x v="1"/>
    <n v="645.1"/>
    <n v="548.33500000000004"/>
  </r>
  <r>
    <s v="ORD1095"/>
    <x v="73"/>
    <x v="5"/>
    <x v="0"/>
    <x v="4"/>
    <n v="848.76"/>
    <n v="848.76"/>
    <n v="1"/>
    <n v="0"/>
    <x v="2"/>
    <n v="848.76"/>
    <n v="848.76"/>
  </r>
  <r>
    <s v="ORD1096"/>
    <x v="74"/>
    <x v="0"/>
    <x v="0"/>
    <x v="1"/>
    <n v="1271.07"/>
    <n v="1271.07"/>
    <n v="3"/>
    <n v="0"/>
    <x v="0"/>
    <n v="3813.21"/>
    <n v="3813.21"/>
  </r>
  <r>
    <s v="ORD1097"/>
    <x v="75"/>
    <x v="0"/>
    <x v="0"/>
    <x v="3"/>
    <n v="1262.6500000000001"/>
    <n v="1262.6500000000001"/>
    <n v="2"/>
    <n v="0"/>
    <x v="5"/>
    <n v="2525.3000000000002"/>
    <n v="2525.3000000000002"/>
  </r>
  <r>
    <s v="ORD1098"/>
    <x v="76"/>
    <x v="2"/>
    <x v="0"/>
    <x v="1"/>
    <n v="1201.23"/>
    <n v="1201.23"/>
    <n v="1"/>
    <n v="0.1"/>
    <x v="1"/>
    <n v="1201.23"/>
    <n v="1081.107"/>
  </r>
  <r>
    <s v="ORD1099"/>
    <x v="77"/>
    <x v="8"/>
    <x v="3"/>
    <x v="1"/>
    <n v="571.85"/>
    <n v="571.85"/>
    <n v="2"/>
    <n v="0.2"/>
    <x v="1"/>
    <n v="1143.7"/>
    <n v="914.96"/>
  </r>
  <r>
    <s v="ORD1100"/>
    <x v="78"/>
    <x v="3"/>
    <x v="2"/>
    <x v="2"/>
    <n v="250.92"/>
    <n v="250.92"/>
    <n v="1"/>
    <n v="0.2"/>
    <x v="5"/>
    <n v="250.92"/>
    <n v="200.73599999999999"/>
  </r>
  <r>
    <s v="ORD1101"/>
    <x v="79"/>
    <x v="8"/>
    <x v="3"/>
    <x v="3"/>
    <n v="549.52"/>
    <n v="549.52"/>
    <n v="5"/>
    <n v="0"/>
    <x v="3"/>
    <n v="2747.6"/>
    <n v="2747.6"/>
  </r>
  <r>
    <s v="ORD1102"/>
    <x v="80"/>
    <x v="5"/>
    <x v="0"/>
    <x v="1"/>
    <n v="1117.75"/>
    <n v="1117.75"/>
    <n v="10"/>
    <n v="0"/>
    <x v="2"/>
    <n v="11177.5"/>
    <n v="11177.5"/>
  </r>
  <r>
    <s v="ORD1103"/>
    <x v="81"/>
    <x v="1"/>
    <x v="1"/>
    <x v="3"/>
    <n v="1511.18"/>
    <n v="1511.18"/>
    <n v="10"/>
    <n v="0"/>
    <x v="1"/>
    <n v="15111.800000000001"/>
    <n v="15111.800000000001"/>
  </r>
  <r>
    <s v="ORD1104"/>
    <x v="82"/>
    <x v="0"/>
    <x v="0"/>
    <x v="0"/>
    <n v="1161.29"/>
    <n v="1161.29"/>
    <n v="3"/>
    <n v="0.1"/>
    <x v="2"/>
    <n v="3483.87"/>
    <n v="3135.4830000000002"/>
  </r>
  <r>
    <s v="ORD1105"/>
    <x v="83"/>
    <x v="3"/>
    <x v="2"/>
    <x v="3"/>
    <n v="378.28"/>
    <n v="378.28"/>
    <n v="10"/>
    <n v="0"/>
    <x v="1"/>
    <n v="3782.7999999999997"/>
    <n v="3782.7999999999997"/>
  </r>
  <r>
    <s v="ORD1106"/>
    <x v="34"/>
    <x v="3"/>
    <x v="2"/>
    <x v="3"/>
    <n v="482.03"/>
    <n v="482.03"/>
    <n v="2"/>
    <n v="0.15"/>
    <x v="1"/>
    <n v="964.06"/>
    <n v="819.45099999999991"/>
  </r>
  <r>
    <s v="ORD1107"/>
    <x v="84"/>
    <x v="0"/>
    <x v="0"/>
    <x v="1"/>
    <n v="1241.9000000000001"/>
    <n v="1241.9000000000001"/>
    <n v="10"/>
    <n v="0"/>
    <x v="0"/>
    <n v="12419"/>
    <n v="12419"/>
  </r>
  <r>
    <s v="ORD1108"/>
    <x v="85"/>
    <x v="1"/>
    <x v="1"/>
    <x v="3"/>
    <n v="1892.72"/>
    <n v="1892.72"/>
    <n v="3"/>
    <n v="0.15"/>
    <x v="4"/>
    <n v="5678.16"/>
    <n v="4826.4359999999997"/>
  </r>
  <r>
    <s v="ORD1109"/>
    <x v="86"/>
    <x v="1"/>
    <x v="1"/>
    <x v="1"/>
    <n v="1773.2"/>
    <n v="1773.2"/>
    <n v="5"/>
    <n v="0.2"/>
    <x v="3"/>
    <n v="8866"/>
    <n v="7092.8"/>
  </r>
  <r>
    <s v="ORD1110"/>
    <x v="87"/>
    <x v="4"/>
    <x v="2"/>
    <x v="1"/>
    <n v="215.69"/>
    <n v="215.69"/>
    <n v="5"/>
    <n v="0.1"/>
    <x v="1"/>
    <n v="1078.45"/>
    <n v="970.60500000000002"/>
  </r>
  <r>
    <s v="ORD1111"/>
    <x v="88"/>
    <x v="7"/>
    <x v="0"/>
    <x v="2"/>
    <n v="1193.6400000000001"/>
    <n v="1193.6400000000001"/>
    <n v="1"/>
    <n v="0"/>
    <x v="1"/>
    <n v="1193.6400000000001"/>
    <n v="1193.6400000000001"/>
  </r>
  <r>
    <s v="ORD1112"/>
    <x v="19"/>
    <x v="3"/>
    <x v="2"/>
    <x v="3"/>
    <n v="354.22"/>
    <n v="354.22"/>
    <n v="1"/>
    <n v="0.15"/>
    <x v="1"/>
    <n v="354.22"/>
    <n v="301.08699999999999"/>
  </r>
  <r>
    <s v="ORD1113"/>
    <x v="89"/>
    <x v="3"/>
    <x v="2"/>
    <x v="0"/>
    <n v="522.42999999999995"/>
    <n v="522.42999999999995"/>
    <n v="2"/>
    <n v="0.1"/>
    <x v="1"/>
    <n v="1044.8599999999999"/>
    <n v="940.37399999999991"/>
  </r>
  <r>
    <s v="ORD1114"/>
    <x v="90"/>
    <x v="7"/>
    <x v="0"/>
    <x v="1"/>
    <n v="1153.83"/>
    <n v="1153.83"/>
    <n v="2"/>
    <n v="0.1"/>
    <x v="0"/>
    <n v="2307.66"/>
    <n v="2076.8939999999998"/>
  </r>
  <r>
    <s v="ORD1115"/>
    <x v="37"/>
    <x v="6"/>
    <x v="2"/>
    <x v="2"/>
    <n v="371.11"/>
    <n v="371.11"/>
    <n v="1"/>
    <n v="0.1"/>
    <x v="1"/>
    <n v="371.11"/>
    <n v="333.99900000000002"/>
  </r>
  <r>
    <s v="ORD1116"/>
    <x v="91"/>
    <x v="0"/>
    <x v="0"/>
    <x v="1"/>
    <n v="1191.67"/>
    <n v="1191.67"/>
    <n v="1"/>
    <n v="0.1"/>
    <x v="3"/>
    <n v="1191.67"/>
    <n v="1072.5030000000002"/>
  </r>
  <r>
    <s v="ORD1117"/>
    <x v="92"/>
    <x v="0"/>
    <x v="0"/>
    <x v="0"/>
    <n v="919.52"/>
    <n v="919.52"/>
    <n v="5"/>
    <n v="0.15"/>
    <x v="5"/>
    <n v="4597.6000000000004"/>
    <n v="3907.96"/>
  </r>
  <r>
    <s v="ORD1118"/>
    <x v="93"/>
    <x v="2"/>
    <x v="0"/>
    <x v="1"/>
    <n v="1474.28"/>
    <n v="1474.28"/>
    <n v="1"/>
    <n v="0.1"/>
    <x v="3"/>
    <n v="1474.28"/>
    <n v="1326.8520000000001"/>
  </r>
  <r>
    <s v="ORD1119"/>
    <x v="94"/>
    <x v="2"/>
    <x v="0"/>
    <x v="3"/>
    <n v="1380.46"/>
    <n v="1380.46"/>
    <n v="3"/>
    <n v="0"/>
    <x v="1"/>
    <n v="4141.38"/>
    <n v="4141.38"/>
  </r>
  <r>
    <s v="ORD1120"/>
    <x v="94"/>
    <x v="6"/>
    <x v="2"/>
    <x v="3"/>
    <n v="405.37"/>
    <n v="405.37"/>
    <n v="2"/>
    <n v="0.1"/>
    <x v="0"/>
    <n v="810.74"/>
    <n v="729.66600000000005"/>
  </r>
  <r>
    <s v="ORD1121"/>
    <x v="95"/>
    <x v="5"/>
    <x v="0"/>
    <x v="0"/>
    <n v="981.75"/>
    <n v="981.75"/>
    <n v="1"/>
    <n v="0.2"/>
    <x v="2"/>
    <n v="981.75"/>
    <n v="785.40000000000009"/>
  </r>
  <r>
    <s v="ORD1122"/>
    <x v="96"/>
    <x v="2"/>
    <x v="0"/>
    <x v="4"/>
    <n v="1536.67"/>
    <n v="1536.67"/>
    <n v="1"/>
    <n v="0.2"/>
    <x v="5"/>
    <n v="1536.67"/>
    <n v="1229.3360000000002"/>
  </r>
  <r>
    <s v="ORD1123"/>
    <x v="34"/>
    <x v="5"/>
    <x v="0"/>
    <x v="0"/>
    <n v="863.56"/>
    <n v="863.56"/>
    <n v="2"/>
    <n v="0"/>
    <x v="3"/>
    <n v="1727.12"/>
    <n v="1727.12"/>
  </r>
  <r>
    <s v="ORD1124"/>
    <x v="97"/>
    <x v="1"/>
    <x v="1"/>
    <x v="1"/>
    <n v="2011.27"/>
    <n v="2011.27"/>
    <n v="1"/>
    <n v="0.15"/>
    <x v="0"/>
    <n v="2011.27"/>
    <n v="1709.5795000000001"/>
  </r>
  <r>
    <s v="ORD1125"/>
    <x v="98"/>
    <x v="3"/>
    <x v="2"/>
    <x v="1"/>
    <n v="503.33"/>
    <n v="503.33"/>
    <n v="3"/>
    <n v="0"/>
    <x v="4"/>
    <n v="1509.99"/>
    <n v="1509.99"/>
  </r>
  <r>
    <s v="ORD1126"/>
    <x v="99"/>
    <x v="5"/>
    <x v="0"/>
    <x v="3"/>
    <n v="962.27"/>
    <n v="962.27"/>
    <n v="2"/>
    <n v="0"/>
    <x v="5"/>
    <n v="1924.54"/>
    <n v="1924.54"/>
  </r>
  <r>
    <s v="ORD1127"/>
    <x v="77"/>
    <x v="8"/>
    <x v="3"/>
    <x v="3"/>
    <n v="532.04"/>
    <n v="532.04"/>
    <n v="5"/>
    <n v="0.1"/>
    <x v="0"/>
    <n v="2660.2"/>
    <n v="2394.1799999999998"/>
  </r>
  <r>
    <s v="ORD1128"/>
    <x v="32"/>
    <x v="2"/>
    <x v="0"/>
    <x v="0"/>
    <n v="1223.92"/>
    <n v="1223.92"/>
    <n v="2"/>
    <n v="0"/>
    <x v="0"/>
    <n v="2447.84"/>
    <n v="2447.84"/>
  </r>
  <r>
    <s v="ORD1129"/>
    <x v="100"/>
    <x v="5"/>
    <x v="0"/>
    <x v="1"/>
    <n v="1079.17"/>
    <n v="1079.17"/>
    <n v="1"/>
    <n v="0.15"/>
    <x v="5"/>
    <n v="1079.17"/>
    <n v="917.29450000000008"/>
  </r>
  <r>
    <s v="ORD1131"/>
    <x v="101"/>
    <x v="0"/>
    <x v="0"/>
    <x v="3"/>
    <n v="1216.46"/>
    <n v="1216.46"/>
    <n v="5"/>
    <n v="0.1"/>
    <x v="4"/>
    <n v="6082.3"/>
    <n v="5474.0700000000006"/>
  </r>
  <r>
    <s v="ORD1132"/>
    <x v="102"/>
    <x v="3"/>
    <x v="2"/>
    <x v="3"/>
    <n v="275.64"/>
    <n v="275.64"/>
    <n v="10"/>
    <n v="0.2"/>
    <x v="3"/>
    <n v="2756.3999999999996"/>
    <n v="2205.12"/>
  </r>
  <r>
    <s v="ORD1133"/>
    <x v="103"/>
    <x v="3"/>
    <x v="2"/>
    <x v="1"/>
    <n v="383.15"/>
    <n v="383.15"/>
    <n v="2"/>
    <n v="0.15"/>
    <x v="2"/>
    <n v="766.3"/>
    <n v="651.3549999999999"/>
  </r>
  <r>
    <s v="ORD1134"/>
    <x v="104"/>
    <x v="5"/>
    <x v="0"/>
    <x v="2"/>
    <n v="979.34"/>
    <n v="979.34"/>
    <n v="5"/>
    <n v="0.2"/>
    <x v="0"/>
    <n v="4896.7"/>
    <n v="3917.36"/>
  </r>
  <r>
    <s v="ORD1135"/>
    <x v="13"/>
    <x v="6"/>
    <x v="2"/>
    <x v="3"/>
    <n v="458.5"/>
    <n v="458.5"/>
    <n v="1"/>
    <n v="0"/>
    <x v="1"/>
    <n v="458.5"/>
    <n v="458.5"/>
  </r>
  <r>
    <s v="ORD1136"/>
    <x v="105"/>
    <x v="1"/>
    <x v="1"/>
    <x v="3"/>
    <m/>
    <n v="1804.6623913043472"/>
    <n v="5"/>
    <n v="0"/>
    <x v="5"/>
    <n v="9023.3119565217366"/>
    <n v="9023.3119565217366"/>
  </r>
  <r>
    <s v="ORD1137"/>
    <x v="106"/>
    <x v="3"/>
    <x v="2"/>
    <x v="3"/>
    <n v="327.45999999999998"/>
    <n v="327.45999999999998"/>
    <n v="1"/>
    <n v="0.1"/>
    <x v="0"/>
    <n v="327.45999999999998"/>
    <n v="294.714"/>
  </r>
  <r>
    <s v="ORD1138"/>
    <x v="107"/>
    <x v="6"/>
    <x v="2"/>
    <x v="3"/>
    <n v="406.95"/>
    <n v="406.95"/>
    <n v="3"/>
    <n v="0"/>
    <x v="0"/>
    <n v="1220.8499999999999"/>
    <n v="1220.8499999999999"/>
  </r>
  <r>
    <s v="ORD1139"/>
    <x v="108"/>
    <x v="7"/>
    <x v="0"/>
    <x v="0"/>
    <n v="904.59"/>
    <n v="904.59"/>
    <n v="2"/>
    <n v="0"/>
    <x v="0"/>
    <n v="1809.18"/>
    <n v="1809.18"/>
  </r>
  <r>
    <s v="ORD1140"/>
    <x v="109"/>
    <x v="4"/>
    <x v="2"/>
    <x v="4"/>
    <n v="365.92"/>
    <n v="365.92"/>
    <n v="2"/>
    <n v="0.2"/>
    <x v="1"/>
    <n v="731.84"/>
    <n v="585.47200000000009"/>
  </r>
  <r>
    <s v="ORD1141"/>
    <x v="110"/>
    <x v="0"/>
    <x v="0"/>
    <x v="1"/>
    <n v="1513.71"/>
    <n v="1513.71"/>
    <n v="10"/>
    <n v="0"/>
    <x v="4"/>
    <n v="15137.1"/>
    <n v="15137.1"/>
  </r>
  <r>
    <s v="ORD1142"/>
    <x v="91"/>
    <x v="6"/>
    <x v="2"/>
    <x v="1"/>
    <n v="237.48"/>
    <n v="237.48"/>
    <n v="2"/>
    <n v="0"/>
    <x v="1"/>
    <n v="474.96"/>
    <n v="474.96"/>
  </r>
  <r>
    <s v="ORD1143"/>
    <x v="111"/>
    <x v="3"/>
    <x v="2"/>
    <x v="0"/>
    <n v="362.92"/>
    <n v="362.92"/>
    <n v="3"/>
    <n v="0.1"/>
    <x v="2"/>
    <n v="1088.76"/>
    <n v="979.88400000000001"/>
  </r>
  <r>
    <s v="ORD1144"/>
    <x v="112"/>
    <x v="6"/>
    <x v="2"/>
    <x v="4"/>
    <n v="368.19"/>
    <n v="368.19"/>
    <n v="10"/>
    <n v="0"/>
    <x v="0"/>
    <n v="3681.9"/>
    <n v="3681.9"/>
  </r>
  <r>
    <s v="ORD1145"/>
    <x v="113"/>
    <x v="6"/>
    <x v="2"/>
    <x v="1"/>
    <n v="404.73"/>
    <n v="404.73"/>
    <n v="2"/>
    <n v="0"/>
    <x v="4"/>
    <n v="809.46"/>
    <n v="809.46"/>
  </r>
  <r>
    <s v="ORD1146"/>
    <x v="32"/>
    <x v="4"/>
    <x v="2"/>
    <x v="0"/>
    <n v="263.41000000000003"/>
    <n v="263.41000000000003"/>
    <n v="1"/>
    <n v="0"/>
    <x v="0"/>
    <n v="263.41000000000003"/>
    <n v="263.41000000000003"/>
  </r>
  <r>
    <s v="ORD1147"/>
    <x v="114"/>
    <x v="4"/>
    <x v="2"/>
    <x v="2"/>
    <n v="257.57"/>
    <n v="257.57"/>
    <n v="2"/>
    <n v="0"/>
    <x v="0"/>
    <n v="515.14"/>
    <n v="515.14"/>
  </r>
  <r>
    <s v="ORD1148"/>
    <x v="115"/>
    <x v="6"/>
    <x v="2"/>
    <x v="1"/>
    <n v="386.54"/>
    <n v="386.54"/>
    <n v="1"/>
    <n v="0"/>
    <x v="5"/>
    <n v="386.54"/>
    <n v="386.54"/>
  </r>
  <r>
    <s v="ORD1149"/>
    <x v="116"/>
    <x v="4"/>
    <x v="2"/>
    <x v="0"/>
    <n v="370.79"/>
    <n v="370.79"/>
    <n v="2"/>
    <n v="0"/>
    <x v="5"/>
    <n v="741.58"/>
    <n v="741.58"/>
  </r>
  <r>
    <s v="ORD1150"/>
    <x v="117"/>
    <x v="7"/>
    <x v="0"/>
    <x v="3"/>
    <n v="1260.1199999999999"/>
    <n v="1260.1199999999999"/>
    <n v="1"/>
    <n v="0.2"/>
    <x v="1"/>
    <n v="1260.1199999999999"/>
    <n v="1008.096"/>
  </r>
  <r>
    <s v="ORD1151"/>
    <x v="101"/>
    <x v="2"/>
    <x v="0"/>
    <x v="3"/>
    <n v="1283.1500000000001"/>
    <n v="1283.1500000000001"/>
    <n v="2"/>
    <n v="0.1"/>
    <x v="1"/>
    <n v="2566.3000000000002"/>
    <n v="2309.67"/>
  </r>
  <r>
    <s v="ORD1152"/>
    <x v="118"/>
    <x v="3"/>
    <x v="2"/>
    <x v="3"/>
    <n v="302.39999999999998"/>
    <n v="302.39999999999998"/>
    <n v="1"/>
    <n v="0"/>
    <x v="1"/>
    <n v="302.39999999999998"/>
    <n v="302.39999999999998"/>
  </r>
  <r>
    <s v="ORD1153"/>
    <x v="16"/>
    <x v="2"/>
    <x v="0"/>
    <x v="3"/>
    <n v="1255.74"/>
    <n v="1255.74"/>
    <n v="5"/>
    <n v="0.1"/>
    <x v="4"/>
    <n v="6278.7"/>
    <n v="5650.83"/>
  </r>
  <r>
    <s v="ORD1154"/>
    <x v="119"/>
    <x v="0"/>
    <x v="0"/>
    <x v="1"/>
    <n v="1270.3399999999999"/>
    <n v="1270.3399999999999"/>
    <n v="1"/>
    <n v="0"/>
    <x v="3"/>
    <n v="1270.3399999999999"/>
    <n v="1270.3399999999999"/>
  </r>
  <r>
    <s v="ORD1155"/>
    <x v="120"/>
    <x v="5"/>
    <x v="0"/>
    <x v="0"/>
    <n v="1028.56"/>
    <n v="1028.56"/>
    <n v="1"/>
    <n v="0"/>
    <x v="4"/>
    <n v="1028.56"/>
    <n v="1028.56"/>
  </r>
  <r>
    <s v="ORD1156"/>
    <x v="121"/>
    <x v="7"/>
    <x v="0"/>
    <x v="3"/>
    <n v="1647.79"/>
    <n v="1647.79"/>
    <n v="2"/>
    <n v="0.15"/>
    <x v="1"/>
    <n v="3295.58"/>
    <n v="2801.2429999999999"/>
  </r>
  <r>
    <s v="ORD1157"/>
    <x v="122"/>
    <x v="3"/>
    <x v="2"/>
    <x v="2"/>
    <n v="383.17"/>
    <n v="383.17"/>
    <n v="5"/>
    <n v="0"/>
    <x v="5"/>
    <n v="1915.8500000000001"/>
    <n v="1915.8500000000001"/>
  </r>
  <r>
    <s v="ORD1158"/>
    <x v="123"/>
    <x v="0"/>
    <x v="0"/>
    <x v="1"/>
    <n v="914.09"/>
    <n v="914.09"/>
    <n v="2"/>
    <n v="0.2"/>
    <x v="0"/>
    <n v="1828.18"/>
    <n v="1462.5440000000001"/>
  </r>
  <r>
    <s v="ORD1159"/>
    <x v="124"/>
    <x v="6"/>
    <x v="2"/>
    <x v="1"/>
    <n v="395.96"/>
    <n v="395.96"/>
    <n v="1"/>
    <n v="0"/>
    <x v="3"/>
    <n v="395.96"/>
    <n v="395.96"/>
  </r>
  <r>
    <s v="ORD1160"/>
    <x v="125"/>
    <x v="7"/>
    <x v="0"/>
    <x v="0"/>
    <n v="966.08"/>
    <n v="966.08"/>
    <n v="1"/>
    <n v="0.1"/>
    <x v="1"/>
    <n v="966.08"/>
    <n v="869.47200000000009"/>
  </r>
  <r>
    <s v="ORD1161"/>
    <x v="95"/>
    <x v="4"/>
    <x v="2"/>
    <x v="0"/>
    <n v="405.1"/>
    <n v="405.1"/>
    <n v="2"/>
    <n v="0"/>
    <x v="0"/>
    <n v="810.2"/>
    <n v="810.2"/>
  </r>
  <r>
    <s v="ORD1162"/>
    <x v="54"/>
    <x v="6"/>
    <x v="2"/>
    <x v="1"/>
    <n v="431.1"/>
    <n v="431.1"/>
    <n v="10"/>
    <n v="0"/>
    <x v="0"/>
    <n v="4311"/>
    <n v="4311"/>
  </r>
  <r>
    <s v="ORD1163"/>
    <x v="126"/>
    <x v="8"/>
    <x v="3"/>
    <x v="3"/>
    <n v="501.52"/>
    <n v="501.52"/>
    <n v="2"/>
    <n v="0.1"/>
    <x v="4"/>
    <n v="1003.04"/>
    <n v="902.73599999999999"/>
  </r>
  <r>
    <s v="ORD1164"/>
    <x v="127"/>
    <x v="7"/>
    <x v="0"/>
    <x v="1"/>
    <n v="1431.21"/>
    <n v="1431.21"/>
    <n v="1"/>
    <n v="0"/>
    <x v="3"/>
    <n v="1431.21"/>
    <n v="1431.21"/>
  </r>
  <r>
    <s v="ORD1165"/>
    <x v="44"/>
    <x v="2"/>
    <x v="0"/>
    <x v="4"/>
    <n v="1299.07"/>
    <n v="1299.07"/>
    <n v="2"/>
    <n v="0.15"/>
    <x v="0"/>
    <n v="2598.14"/>
    <n v="2208.4189999999999"/>
  </r>
  <r>
    <s v="ORD1166"/>
    <x v="128"/>
    <x v="3"/>
    <x v="2"/>
    <x v="0"/>
    <m/>
    <n v="351.86434782608688"/>
    <n v="2"/>
    <n v="0.2"/>
    <x v="1"/>
    <n v="703.72869565217377"/>
    <n v="562.98295652173908"/>
  </r>
  <r>
    <s v="ORD1167"/>
    <x v="27"/>
    <x v="6"/>
    <x v="2"/>
    <x v="0"/>
    <n v="482.78"/>
    <n v="482.78"/>
    <n v="10"/>
    <n v="0.1"/>
    <x v="4"/>
    <n v="4827.7999999999993"/>
    <n v="4345.0199999999995"/>
  </r>
  <r>
    <s v="ORD1168"/>
    <x v="129"/>
    <x v="0"/>
    <x v="0"/>
    <x v="0"/>
    <n v="1141.1099999999999"/>
    <n v="1141.1099999999999"/>
    <n v="3"/>
    <n v="0.15"/>
    <x v="0"/>
    <n v="3423.33"/>
    <n v="2909.8305"/>
  </r>
  <r>
    <s v="ORD1169"/>
    <x v="130"/>
    <x v="2"/>
    <x v="0"/>
    <x v="0"/>
    <n v="1019.1"/>
    <n v="1019.1"/>
    <n v="1"/>
    <n v="0.2"/>
    <x v="0"/>
    <n v="1019.1"/>
    <n v="815.28000000000009"/>
  </r>
  <r>
    <s v="ORD1170"/>
    <x v="131"/>
    <x v="0"/>
    <x v="0"/>
    <x v="0"/>
    <n v="986.52"/>
    <n v="986.52"/>
    <n v="10"/>
    <n v="0.15"/>
    <x v="1"/>
    <n v="9865.2000000000007"/>
    <n v="8385.42"/>
  </r>
  <r>
    <s v="ORD1171"/>
    <x v="132"/>
    <x v="8"/>
    <x v="3"/>
    <x v="3"/>
    <m/>
    <n v="591.75880952380953"/>
    <n v="5"/>
    <n v="0.2"/>
    <x v="1"/>
    <n v="2958.7940476190479"/>
    <n v="2367.0352380952386"/>
  </r>
  <r>
    <s v="ORD1172"/>
    <x v="133"/>
    <x v="2"/>
    <x v="0"/>
    <x v="2"/>
    <n v="1181.5"/>
    <n v="1181.5"/>
    <n v="5"/>
    <n v="0"/>
    <x v="1"/>
    <n v="5907.5"/>
    <n v="5907.5"/>
  </r>
  <r>
    <s v="ORD1173"/>
    <x v="58"/>
    <x v="0"/>
    <x v="0"/>
    <x v="0"/>
    <n v="1281.8800000000001"/>
    <n v="1281.8800000000001"/>
    <n v="3"/>
    <n v="0.1"/>
    <x v="1"/>
    <n v="3845.6400000000003"/>
    <n v="3461.0760000000005"/>
  </r>
  <r>
    <s v="ORD1174"/>
    <x v="134"/>
    <x v="6"/>
    <x v="2"/>
    <x v="1"/>
    <n v="369.37"/>
    <n v="369.37"/>
    <n v="1"/>
    <n v="0.1"/>
    <x v="4"/>
    <n v="369.37"/>
    <n v="332.43299999999999"/>
  </r>
  <r>
    <s v="ORD1175"/>
    <x v="135"/>
    <x v="6"/>
    <x v="2"/>
    <x v="3"/>
    <n v="407.9"/>
    <n v="407.9"/>
    <n v="1"/>
    <n v="0.1"/>
    <x v="2"/>
    <n v="407.9"/>
    <n v="367.11"/>
  </r>
  <r>
    <s v="ORD1176"/>
    <x v="136"/>
    <x v="5"/>
    <x v="0"/>
    <x v="0"/>
    <n v="1203.1199999999999"/>
    <n v="1203.1199999999999"/>
    <n v="10"/>
    <n v="0.1"/>
    <x v="5"/>
    <n v="12031.199999999999"/>
    <n v="10828.08"/>
  </r>
  <r>
    <s v="ORD1177"/>
    <x v="137"/>
    <x v="1"/>
    <x v="1"/>
    <x v="0"/>
    <n v="2323.27"/>
    <n v="2323.27"/>
    <n v="10"/>
    <n v="0.2"/>
    <x v="1"/>
    <n v="23232.7"/>
    <n v="18586.16"/>
  </r>
  <r>
    <s v="ORD1178"/>
    <x v="138"/>
    <x v="5"/>
    <x v="0"/>
    <x v="0"/>
    <n v="1136.48"/>
    <n v="1136.48"/>
    <n v="2"/>
    <n v="0.15"/>
    <x v="3"/>
    <n v="2272.96"/>
    <n v="1932.0160000000001"/>
  </r>
  <r>
    <s v="ORD1179"/>
    <x v="139"/>
    <x v="8"/>
    <x v="3"/>
    <x v="3"/>
    <n v="926.42"/>
    <n v="926.42"/>
    <n v="10"/>
    <n v="0"/>
    <x v="5"/>
    <n v="9264.1999999999989"/>
    <n v="9264.1999999999989"/>
  </r>
  <r>
    <s v="ORD1180"/>
    <x v="140"/>
    <x v="0"/>
    <x v="0"/>
    <x v="0"/>
    <n v="1350.16"/>
    <n v="1350.16"/>
    <n v="1"/>
    <n v="0"/>
    <x v="2"/>
    <n v="1350.16"/>
    <n v="1350.16"/>
  </r>
  <r>
    <s v="ORD1181"/>
    <x v="61"/>
    <x v="2"/>
    <x v="0"/>
    <x v="0"/>
    <m/>
    <n v="1206.3558695652175"/>
    <n v="1"/>
    <n v="0"/>
    <x v="4"/>
    <n v="1206.3558695652175"/>
    <n v="1206.3558695652175"/>
  </r>
  <r>
    <s v="ORD1182"/>
    <x v="127"/>
    <x v="3"/>
    <x v="2"/>
    <x v="0"/>
    <n v="275.04000000000002"/>
    <n v="275.04000000000002"/>
    <n v="1"/>
    <n v="0.1"/>
    <x v="0"/>
    <n v="275.04000000000002"/>
    <n v="247.53600000000003"/>
  </r>
  <r>
    <s v="ORD1183"/>
    <x v="141"/>
    <x v="7"/>
    <x v="0"/>
    <x v="1"/>
    <n v="1315.79"/>
    <n v="1315.79"/>
    <n v="5"/>
    <n v="0.1"/>
    <x v="1"/>
    <n v="6578.95"/>
    <n v="5921.0550000000003"/>
  </r>
  <r>
    <s v="ORD1184"/>
    <x v="142"/>
    <x v="1"/>
    <x v="1"/>
    <x v="2"/>
    <n v="1719.55"/>
    <n v="1719.55"/>
    <n v="1"/>
    <n v="0.1"/>
    <x v="0"/>
    <n v="1719.55"/>
    <n v="1547.595"/>
  </r>
  <r>
    <s v="ORD1186"/>
    <x v="88"/>
    <x v="5"/>
    <x v="0"/>
    <x v="3"/>
    <n v="1313.58"/>
    <n v="1313.58"/>
    <n v="3"/>
    <n v="0.15"/>
    <x v="0"/>
    <n v="3940.74"/>
    <n v="3349.6289999999999"/>
  </r>
  <r>
    <s v="ORD1187"/>
    <x v="54"/>
    <x v="5"/>
    <x v="0"/>
    <x v="0"/>
    <n v="1182.52"/>
    <n v="1182.52"/>
    <n v="2"/>
    <n v="0.15"/>
    <x v="1"/>
    <n v="2365.04"/>
    <n v="2010.2839999999999"/>
  </r>
  <r>
    <s v="ORD1188"/>
    <x v="143"/>
    <x v="5"/>
    <x v="0"/>
    <x v="1"/>
    <n v="996.77"/>
    <n v="996.77"/>
    <n v="10"/>
    <n v="0"/>
    <x v="1"/>
    <n v="9967.7000000000007"/>
    <n v="9967.7000000000007"/>
  </r>
  <r>
    <s v="ORD1189"/>
    <x v="53"/>
    <x v="7"/>
    <x v="0"/>
    <x v="3"/>
    <n v="836.44"/>
    <n v="836.44"/>
    <n v="5"/>
    <n v="0.1"/>
    <x v="1"/>
    <n v="4182.2000000000007"/>
    <n v="3763.9800000000009"/>
  </r>
  <r>
    <s v="ORD1190"/>
    <x v="117"/>
    <x v="5"/>
    <x v="0"/>
    <x v="1"/>
    <n v="1092.8399999999999"/>
    <n v="1092.8399999999999"/>
    <n v="2"/>
    <n v="0.15"/>
    <x v="1"/>
    <n v="2185.6799999999998"/>
    <n v="1857.8279999999997"/>
  </r>
  <r>
    <s v="ORD1191"/>
    <x v="40"/>
    <x v="1"/>
    <x v="1"/>
    <x v="3"/>
    <n v="2108.3000000000002"/>
    <n v="2108.3000000000002"/>
    <n v="1"/>
    <n v="0"/>
    <x v="1"/>
    <n v="2108.3000000000002"/>
    <n v="2108.3000000000002"/>
  </r>
  <r>
    <s v="ORD1192"/>
    <x v="144"/>
    <x v="4"/>
    <x v="2"/>
    <x v="3"/>
    <n v="364.99"/>
    <n v="364.99"/>
    <n v="5"/>
    <n v="0.2"/>
    <x v="3"/>
    <n v="1824.95"/>
    <n v="1459.96"/>
  </r>
  <r>
    <s v="ORD1193"/>
    <x v="116"/>
    <x v="3"/>
    <x v="2"/>
    <x v="4"/>
    <n v="262.8"/>
    <n v="262.8"/>
    <n v="3"/>
    <n v="0"/>
    <x v="1"/>
    <n v="788.40000000000009"/>
    <n v="788.40000000000009"/>
  </r>
  <r>
    <s v="ORD1194"/>
    <x v="145"/>
    <x v="2"/>
    <x v="0"/>
    <x v="0"/>
    <n v="1241.56"/>
    <n v="1241.56"/>
    <n v="1"/>
    <n v="0.2"/>
    <x v="3"/>
    <n v="1241.56"/>
    <n v="993.24800000000005"/>
  </r>
  <r>
    <s v="ORD1195"/>
    <x v="146"/>
    <x v="3"/>
    <x v="2"/>
    <x v="3"/>
    <n v="376.97"/>
    <n v="376.97"/>
    <n v="1"/>
    <n v="0"/>
    <x v="1"/>
    <n v="376.97"/>
    <n v="376.97"/>
  </r>
  <r>
    <s v="ORD1196"/>
    <x v="147"/>
    <x v="5"/>
    <x v="0"/>
    <x v="3"/>
    <n v="987.87"/>
    <n v="987.87"/>
    <n v="5"/>
    <n v="0.2"/>
    <x v="4"/>
    <n v="4939.3500000000004"/>
    <n v="3951.4800000000005"/>
  </r>
  <r>
    <s v="ORD1197"/>
    <x v="48"/>
    <x v="5"/>
    <x v="0"/>
    <x v="3"/>
    <n v="1236.8900000000001"/>
    <n v="1236.8900000000001"/>
    <n v="5"/>
    <n v="0"/>
    <x v="1"/>
    <n v="6184.4500000000007"/>
    <n v="6184.4500000000007"/>
  </r>
  <r>
    <s v="ORD1198"/>
    <x v="148"/>
    <x v="5"/>
    <x v="0"/>
    <x v="0"/>
    <n v="1213.97"/>
    <n v="1213.97"/>
    <n v="1"/>
    <n v="0"/>
    <x v="0"/>
    <n v="1213.97"/>
    <n v="1213.97"/>
  </r>
  <r>
    <s v="ORD1199"/>
    <x v="149"/>
    <x v="1"/>
    <x v="1"/>
    <x v="1"/>
    <n v="1388.53"/>
    <n v="1388.53"/>
    <n v="5"/>
    <n v="0"/>
    <x v="4"/>
    <n v="6942.65"/>
    <n v="6942.65"/>
  </r>
  <r>
    <s v="ORD1200"/>
    <x v="150"/>
    <x v="3"/>
    <x v="2"/>
    <x v="1"/>
    <n v="375.05"/>
    <n v="375.05"/>
    <n v="2"/>
    <n v="0"/>
    <x v="5"/>
    <n v="750.1"/>
    <n v="750.1"/>
  </r>
  <r>
    <s v="ORD1201"/>
    <x v="15"/>
    <x v="6"/>
    <x v="2"/>
    <x v="3"/>
    <n v="389.25"/>
    <n v="389.25"/>
    <n v="2"/>
    <n v="0"/>
    <x v="1"/>
    <n v="778.5"/>
    <n v="778.5"/>
  </r>
  <r>
    <s v="ORD1202"/>
    <x v="13"/>
    <x v="3"/>
    <x v="2"/>
    <x v="1"/>
    <n v="425.81"/>
    <n v="425.81"/>
    <n v="5"/>
    <n v="0.15"/>
    <x v="3"/>
    <n v="2129.0500000000002"/>
    <n v="1809.6925000000001"/>
  </r>
  <r>
    <s v="ORD1203"/>
    <x v="151"/>
    <x v="1"/>
    <x v="1"/>
    <x v="1"/>
    <n v="2179.37"/>
    <n v="2179.37"/>
    <n v="5"/>
    <n v="0.15"/>
    <x v="0"/>
    <n v="10896.849999999999"/>
    <n v="9262.3224999999984"/>
  </r>
  <r>
    <s v="ORD1204"/>
    <x v="152"/>
    <x v="3"/>
    <x v="2"/>
    <x v="0"/>
    <n v="253.56"/>
    <n v="253.56"/>
    <n v="2"/>
    <n v="0.1"/>
    <x v="0"/>
    <n v="507.12"/>
    <n v="456.40800000000002"/>
  </r>
  <r>
    <s v="ORD1205"/>
    <x v="60"/>
    <x v="3"/>
    <x v="2"/>
    <x v="3"/>
    <n v="284.35000000000002"/>
    <n v="284.35000000000002"/>
    <n v="1"/>
    <n v="0.1"/>
    <x v="0"/>
    <n v="284.35000000000002"/>
    <n v="255.91500000000002"/>
  </r>
  <r>
    <s v="ORD1206"/>
    <x v="125"/>
    <x v="0"/>
    <x v="0"/>
    <x v="0"/>
    <n v="1323.61"/>
    <n v="1323.61"/>
    <n v="1"/>
    <n v="0.1"/>
    <x v="1"/>
    <n v="1323.61"/>
    <n v="1191.249"/>
  </r>
  <r>
    <s v="ORD1207"/>
    <x v="153"/>
    <x v="0"/>
    <x v="0"/>
    <x v="3"/>
    <n v="1323.31"/>
    <n v="1323.31"/>
    <n v="5"/>
    <n v="0.2"/>
    <x v="0"/>
    <n v="6616.5499999999993"/>
    <n v="5293.24"/>
  </r>
  <r>
    <s v="ORD1208"/>
    <x v="70"/>
    <x v="3"/>
    <x v="2"/>
    <x v="3"/>
    <n v="386.05"/>
    <n v="386.05"/>
    <n v="2"/>
    <n v="0.1"/>
    <x v="1"/>
    <n v="772.1"/>
    <n v="694.89"/>
  </r>
  <r>
    <s v="ORD1209"/>
    <x v="144"/>
    <x v="2"/>
    <x v="0"/>
    <x v="1"/>
    <n v="2124.66"/>
    <n v="2124.66"/>
    <n v="3"/>
    <n v="0.15"/>
    <x v="0"/>
    <n v="6373.98"/>
    <n v="5417.8829999999998"/>
  </r>
  <r>
    <s v="ORD1210"/>
    <x v="154"/>
    <x v="4"/>
    <x v="2"/>
    <x v="3"/>
    <n v="389.96"/>
    <n v="389.96"/>
    <n v="5"/>
    <n v="0"/>
    <x v="5"/>
    <n v="1949.8"/>
    <n v="1949.8"/>
  </r>
  <r>
    <s v="ORD1211"/>
    <x v="119"/>
    <x v="0"/>
    <x v="0"/>
    <x v="3"/>
    <n v="1472.54"/>
    <n v="1472.54"/>
    <n v="1"/>
    <n v="0.15"/>
    <x v="1"/>
    <n v="1472.54"/>
    <n v="1251.6589999999999"/>
  </r>
  <r>
    <s v="ORD1212"/>
    <x v="130"/>
    <x v="5"/>
    <x v="0"/>
    <x v="3"/>
    <n v="1428.96"/>
    <n v="1428.96"/>
    <n v="3"/>
    <n v="0"/>
    <x v="0"/>
    <n v="4286.88"/>
    <n v="4286.88"/>
  </r>
  <r>
    <s v="ORD1213"/>
    <x v="155"/>
    <x v="0"/>
    <x v="0"/>
    <x v="3"/>
    <n v="1356.33"/>
    <n v="1356.33"/>
    <n v="1"/>
    <n v="0.2"/>
    <x v="4"/>
    <n v="1356.33"/>
    <n v="1085.0640000000001"/>
  </r>
  <r>
    <s v="ORD1214"/>
    <x v="41"/>
    <x v="8"/>
    <x v="3"/>
    <x v="1"/>
    <n v="562.16999999999996"/>
    <n v="562.16999999999996"/>
    <n v="1"/>
    <n v="0"/>
    <x v="1"/>
    <n v="562.16999999999996"/>
    <n v="562.16999999999996"/>
  </r>
  <r>
    <s v="ORD1215"/>
    <x v="11"/>
    <x v="2"/>
    <x v="0"/>
    <x v="0"/>
    <n v="1382.15"/>
    <n v="1382.15"/>
    <n v="1"/>
    <n v="0"/>
    <x v="0"/>
    <n v="1382.15"/>
    <n v="1382.15"/>
  </r>
  <r>
    <s v="ORD1216"/>
    <x v="88"/>
    <x v="6"/>
    <x v="2"/>
    <x v="1"/>
    <n v="295.89999999999998"/>
    <n v="295.89999999999998"/>
    <n v="1"/>
    <n v="0"/>
    <x v="3"/>
    <n v="295.89999999999998"/>
    <n v="295.89999999999998"/>
  </r>
  <r>
    <s v="ORD1217"/>
    <x v="156"/>
    <x v="5"/>
    <x v="0"/>
    <x v="0"/>
    <n v="1143.1600000000001"/>
    <n v="1143.1600000000001"/>
    <n v="2"/>
    <n v="0"/>
    <x v="0"/>
    <n v="2286.3200000000002"/>
    <n v="2286.3200000000002"/>
  </r>
  <r>
    <s v="ORD1218"/>
    <x v="157"/>
    <x v="8"/>
    <x v="3"/>
    <x v="3"/>
    <n v="541.76"/>
    <n v="541.76"/>
    <n v="2"/>
    <n v="0.2"/>
    <x v="1"/>
    <n v="1083.52"/>
    <n v="866.81600000000003"/>
  </r>
  <r>
    <s v="ORD1219"/>
    <x v="128"/>
    <x v="5"/>
    <x v="0"/>
    <x v="0"/>
    <n v="1219.6500000000001"/>
    <n v="1219.6500000000001"/>
    <n v="1"/>
    <n v="0"/>
    <x v="0"/>
    <n v="1219.6500000000001"/>
    <n v="1219.6500000000001"/>
  </r>
  <r>
    <s v="ORD1220"/>
    <x v="48"/>
    <x v="5"/>
    <x v="0"/>
    <x v="1"/>
    <n v="1755.52"/>
    <n v="1755.52"/>
    <n v="5"/>
    <n v="0.15"/>
    <x v="1"/>
    <n v="8777.6"/>
    <n v="7460.96"/>
  </r>
  <r>
    <s v="ORD1221"/>
    <x v="158"/>
    <x v="2"/>
    <x v="0"/>
    <x v="3"/>
    <n v="751.86"/>
    <n v="751.86"/>
    <n v="1"/>
    <n v="0"/>
    <x v="2"/>
    <n v="751.86"/>
    <n v="751.86"/>
  </r>
  <r>
    <s v="ORD1222"/>
    <x v="159"/>
    <x v="2"/>
    <x v="0"/>
    <x v="2"/>
    <n v="1364.7"/>
    <n v="1364.7"/>
    <n v="2"/>
    <n v="0.15"/>
    <x v="1"/>
    <n v="2729.4"/>
    <n v="2319.9900000000002"/>
  </r>
  <r>
    <s v="ORD1223"/>
    <x v="160"/>
    <x v="5"/>
    <x v="0"/>
    <x v="1"/>
    <n v="812.95"/>
    <n v="812.95"/>
    <n v="1"/>
    <n v="0.2"/>
    <x v="0"/>
    <n v="812.95"/>
    <n v="650.36000000000013"/>
  </r>
  <r>
    <s v="ORD1224"/>
    <x v="74"/>
    <x v="3"/>
    <x v="2"/>
    <x v="0"/>
    <n v="316.95999999999998"/>
    <n v="316.95999999999998"/>
    <n v="3"/>
    <n v="0.15"/>
    <x v="0"/>
    <n v="950.87999999999988"/>
    <n v="808.24799999999993"/>
  </r>
  <r>
    <s v="ORD1225"/>
    <x v="102"/>
    <x v="0"/>
    <x v="0"/>
    <x v="0"/>
    <n v="1461.35"/>
    <n v="1461.35"/>
    <n v="10"/>
    <n v="0.2"/>
    <x v="0"/>
    <n v="14613.5"/>
    <n v="11690.800000000001"/>
  </r>
  <r>
    <s v="ORD1226"/>
    <x v="161"/>
    <x v="0"/>
    <x v="0"/>
    <x v="2"/>
    <n v="1215.43"/>
    <n v="1215.43"/>
    <n v="1"/>
    <n v="0"/>
    <x v="5"/>
    <n v="1215.43"/>
    <n v="1215.43"/>
  </r>
  <r>
    <s v="ORD1227"/>
    <x v="161"/>
    <x v="6"/>
    <x v="2"/>
    <x v="2"/>
    <n v="274.56"/>
    <n v="274.56"/>
    <n v="1"/>
    <n v="0"/>
    <x v="2"/>
    <n v="274.56"/>
    <n v="274.56"/>
  </r>
  <r>
    <s v="ORD1228"/>
    <x v="24"/>
    <x v="1"/>
    <x v="1"/>
    <x v="2"/>
    <n v="1542.49"/>
    <n v="1542.49"/>
    <n v="3"/>
    <n v="0.2"/>
    <x v="2"/>
    <n v="4627.47"/>
    <n v="3701.9760000000006"/>
  </r>
  <r>
    <s v="ORD1229"/>
    <x v="162"/>
    <x v="3"/>
    <x v="2"/>
    <x v="0"/>
    <n v="397.57"/>
    <n v="397.57"/>
    <n v="5"/>
    <n v="0.2"/>
    <x v="4"/>
    <n v="1987.85"/>
    <n v="1590.28"/>
  </r>
  <r>
    <s v="ORD1230"/>
    <x v="163"/>
    <x v="5"/>
    <x v="0"/>
    <x v="2"/>
    <n v="1024.71"/>
    <n v="1024.71"/>
    <n v="5"/>
    <n v="0"/>
    <x v="5"/>
    <n v="5123.55"/>
    <n v="5123.55"/>
  </r>
  <r>
    <s v="ORD1231"/>
    <x v="164"/>
    <x v="4"/>
    <x v="2"/>
    <x v="3"/>
    <m/>
    <n v="336.57634615384626"/>
    <n v="10"/>
    <n v="0.1"/>
    <x v="0"/>
    <n v="3365.7634615384627"/>
    <n v="3029.1871153846164"/>
  </r>
  <r>
    <s v="ORD1232"/>
    <x v="123"/>
    <x v="5"/>
    <x v="0"/>
    <x v="3"/>
    <n v="1210.94"/>
    <n v="1210.94"/>
    <n v="3"/>
    <n v="0.15"/>
    <x v="1"/>
    <n v="3632.82"/>
    <n v="3087.8969999999999"/>
  </r>
  <r>
    <s v="ORD1233"/>
    <x v="114"/>
    <x v="2"/>
    <x v="0"/>
    <x v="2"/>
    <n v="1043.6199999999999"/>
    <n v="1043.6199999999999"/>
    <n v="2"/>
    <n v="0"/>
    <x v="1"/>
    <n v="2087.2399999999998"/>
    <n v="2087.2399999999998"/>
  </r>
  <r>
    <s v="ORD1234"/>
    <x v="165"/>
    <x v="2"/>
    <x v="0"/>
    <x v="1"/>
    <m/>
    <n v="1206.3558695652175"/>
    <n v="1"/>
    <n v="0"/>
    <x v="1"/>
    <n v="1206.3558695652175"/>
    <n v="1206.3558695652175"/>
  </r>
  <r>
    <s v="ORD1235"/>
    <x v="166"/>
    <x v="1"/>
    <x v="1"/>
    <x v="1"/>
    <n v="2028.21"/>
    <n v="2028.21"/>
    <n v="2"/>
    <n v="0"/>
    <x v="2"/>
    <n v="4056.42"/>
    <n v="4056.42"/>
  </r>
  <r>
    <s v="ORD1236"/>
    <x v="167"/>
    <x v="1"/>
    <x v="1"/>
    <x v="0"/>
    <n v="1070.95"/>
    <n v="1070.95"/>
    <n v="2"/>
    <n v="0"/>
    <x v="3"/>
    <n v="2141.9"/>
    <n v="2141.9"/>
  </r>
  <r>
    <s v="ORD1237"/>
    <x v="168"/>
    <x v="5"/>
    <x v="0"/>
    <x v="0"/>
    <n v="1244.75"/>
    <n v="1244.75"/>
    <n v="2"/>
    <n v="0"/>
    <x v="3"/>
    <n v="2489.5"/>
    <n v="2489.5"/>
  </r>
  <r>
    <s v="ORD1238"/>
    <x v="131"/>
    <x v="7"/>
    <x v="0"/>
    <x v="3"/>
    <n v="1041.17"/>
    <n v="1041.17"/>
    <n v="1"/>
    <n v="0.2"/>
    <x v="5"/>
    <n v="1041.17"/>
    <n v="832.93600000000015"/>
  </r>
  <r>
    <s v="ORD1239"/>
    <x v="169"/>
    <x v="1"/>
    <x v="1"/>
    <x v="0"/>
    <n v="2106.88"/>
    <n v="2106.88"/>
    <n v="2"/>
    <n v="0.15"/>
    <x v="1"/>
    <n v="4213.76"/>
    <n v="3581.6959999999999"/>
  </r>
  <r>
    <s v="ORD1240"/>
    <x v="31"/>
    <x v="2"/>
    <x v="0"/>
    <x v="1"/>
    <n v="1009.8"/>
    <n v="1009.8"/>
    <n v="1"/>
    <n v="0"/>
    <x v="1"/>
    <n v="1009.8"/>
    <n v="1009.8"/>
  </r>
  <r>
    <s v="ORD1241"/>
    <x v="87"/>
    <x v="7"/>
    <x v="0"/>
    <x v="0"/>
    <n v="1172.46"/>
    <n v="1172.46"/>
    <n v="10"/>
    <n v="0.1"/>
    <x v="1"/>
    <n v="11724.6"/>
    <n v="10552.140000000001"/>
  </r>
  <r>
    <s v="ORD1242"/>
    <x v="42"/>
    <x v="7"/>
    <x v="0"/>
    <x v="0"/>
    <n v="1321.2"/>
    <n v="1321.2"/>
    <n v="10"/>
    <n v="0.15"/>
    <x v="0"/>
    <n v="13212"/>
    <n v="11230.199999999999"/>
  </r>
  <r>
    <s v="ORD1242"/>
    <x v="42"/>
    <x v="7"/>
    <x v="0"/>
    <x v="0"/>
    <n v="1321.2"/>
    <n v="1321.2"/>
    <n v="10"/>
    <n v="0.15"/>
    <x v="0"/>
    <n v="13212"/>
    <n v="11230.199999999999"/>
  </r>
  <r>
    <s v="ORD1243"/>
    <x v="64"/>
    <x v="0"/>
    <x v="0"/>
    <x v="0"/>
    <m/>
    <n v="1225.2512631578948"/>
    <n v="2"/>
    <n v="0.1"/>
    <x v="5"/>
    <n v="2450.5025263157895"/>
    <n v="2205.4522736842105"/>
  </r>
  <r>
    <s v="ORD1244"/>
    <x v="134"/>
    <x v="2"/>
    <x v="0"/>
    <x v="2"/>
    <n v="911.93"/>
    <n v="911.93"/>
    <n v="5"/>
    <n v="0.2"/>
    <x v="4"/>
    <n v="4559.6499999999996"/>
    <n v="3647.72"/>
  </r>
  <r>
    <s v="ORD1245"/>
    <x v="170"/>
    <x v="3"/>
    <x v="2"/>
    <x v="1"/>
    <n v="326.58"/>
    <n v="326.58"/>
    <n v="1"/>
    <n v="0"/>
    <x v="1"/>
    <n v="326.58"/>
    <n v="326.58"/>
  </r>
  <r>
    <s v="ORD1246"/>
    <x v="16"/>
    <x v="0"/>
    <x v="0"/>
    <x v="1"/>
    <n v="1086.01"/>
    <n v="1086.01"/>
    <n v="1"/>
    <n v="0"/>
    <x v="2"/>
    <n v="1086.01"/>
    <n v="1086.01"/>
  </r>
  <r>
    <s v="ORD1247"/>
    <x v="144"/>
    <x v="4"/>
    <x v="2"/>
    <x v="3"/>
    <n v="304.27"/>
    <n v="304.27"/>
    <n v="2"/>
    <n v="0.1"/>
    <x v="2"/>
    <n v="608.54"/>
    <n v="547.68600000000004"/>
  </r>
  <r>
    <s v="ORD1248"/>
    <x v="123"/>
    <x v="0"/>
    <x v="0"/>
    <x v="4"/>
    <n v="1623.71"/>
    <n v="1623.71"/>
    <n v="1"/>
    <n v="0.2"/>
    <x v="2"/>
    <n v="1623.71"/>
    <n v="1298.9680000000001"/>
  </r>
  <r>
    <s v="ORD1249"/>
    <x v="167"/>
    <x v="4"/>
    <x v="2"/>
    <x v="3"/>
    <n v="378.35"/>
    <n v="378.35"/>
    <n v="5"/>
    <n v="0.1"/>
    <x v="0"/>
    <n v="1891.75"/>
    <n v="1702.575"/>
  </r>
  <r>
    <s v="ORD1250"/>
    <x v="24"/>
    <x v="3"/>
    <x v="2"/>
    <x v="3"/>
    <n v="261.74"/>
    <n v="261.74"/>
    <n v="5"/>
    <n v="0.1"/>
    <x v="4"/>
    <n v="1308.7"/>
    <n v="1177.8300000000002"/>
  </r>
  <r>
    <s v="ORD1251"/>
    <x v="50"/>
    <x v="6"/>
    <x v="2"/>
    <x v="2"/>
    <m/>
    <n v="362.89299999999997"/>
    <n v="2"/>
    <n v="0"/>
    <x v="3"/>
    <n v="725.78599999999994"/>
    <n v="725.78599999999994"/>
  </r>
  <r>
    <s v="ORD1252"/>
    <x v="171"/>
    <x v="0"/>
    <x v="0"/>
    <x v="2"/>
    <n v="1709.32"/>
    <n v="1709.32"/>
    <n v="1"/>
    <n v="0"/>
    <x v="4"/>
    <n v="1709.32"/>
    <n v="1709.32"/>
  </r>
  <r>
    <s v="ORD1253"/>
    <x v="160"/>
    <x v="3"/>
    <x v="2"/>
    <x v="0"/>
    <n v="422.27"/>
    <n v="422.27"/>
    <n v="1"/>
    <n v="0.15"/>
    <x v="5"/>
    <n v="422.27"/>
    <n v="358.92949999999996"/>
  </r>
  <r>
    <s v="ORD1254"/>
    <x v="3"/>
    <x v="0"/>
    <x v="0"/>
    <x v="0"/>
    <n v="835.35"/>
    <n v="835.35"/>
    <n v="3"/>
    <n v="0.2"/>
    <x v="4"/>
    <n v="2506.0500000000002"/>
    <n v="2004.8400000000001"/>
  </r>
  <r>
    <s v="ORD1255"/>
    <x v="69"/>
    <x v="3"/>
    <x v="2"/>
    <x v="3"/>
    <n v="316.10000000000002"/>
    <n v="316.10000000000002"/>
    <n v="5"/>
    <n v="0.2"/>
    <x v="5"/>
    <n v="1580.5"/>
    <n v="1264.4000000000001"/>
  </r>
  <r>
    <s v="ORD1256"/>
    <x v="172"/>
    <x v="6"/>
    <x v="2"/>
    <x v="0"/>
    <n v="438.68"/>
    <n v="438.68"/>
    <n v="3"/>
    <n v="0"/>
    <x v="2"/>
    <n v="1316.04"/>
    <n v="1316.04"/>
  </r>
  <r>
    <s v="ORD1257"/>
    <x v="136"/>
    <x v="1"/>
    <x v="1"/>
    <x v="1"/>
    <n v="1545.24"/>
    <n v="1545.24"/>
    <n v="10"/>
    <n v="0"/>
    <x v="4"/>
    <n v="15452.4"/>
    <n v="15452.4"/>
  </r>
  <r>
    <s v="ORD1258"/>
    <x v="173"/>
    <x v="6"/>
    <x v="2"/>
    <x v="3"/>
    <n v="381.07"/>
    <n v="381.07"/>
    <n v="3"/>
    <n v="0"/>
    <x v="0"/>
    <n v="1143.21"/>
    <n v="1143.21"/>
  </r>
  <r>
    <s v="ORD1259"/>
    <x v="93"/>
    <x v="0"/>
    <x v="0"/>
    <x v="1"/>
    <m/>
    <n v="1225.2512631578948"/>
    <n v="1"/>
    <n v="0.15"/>
    <x v="0"/>
    <n v="1225.2512631578948"/>
    <n v="1041.4635736842106"/>
  </r>
  <r>
    <s v="ORD1260"/>
    <x v="141"/>
    <x v="2"/>
    <x v="0"/>
    <x v="1"/>
    <n v="977.54"/>
    <n v="977.54"/>
    <n v="2"/>
    <n v="0"/>
    <x v="1"/>
    <n v="1955.08"/>
    <n v="1955.08"/>
  </r>
  <r>
    <s v="ORD1261"/>
    <x v="152"/>
    <x v="2"/>
    <x v="0"/>
    <x v="1"/>
    <n v="1185.71"/>
    <n v="1185.71"/>
    <n v="5"/>
    <n v="0"/>
    <x v="3"/>
    <n v="5928.55"/>
    <n v="5928.55"/>
  </r>
  <r>
    <s v="ORD1262"/>
    <x v="174"/>
    <x v="4"/>
    <x v="2"/>
    <x v="1"/>
    <n v="123.11"/>
    <n v="123.11"/>
    <n v="1"/>
    <n v="0.2"/>
    <x v="2"/>
    <n v="123.11"/>
    <n v="98.488"/>
  </r>
  <r>
    <s v="ORD1263"/>
    <x v="175"/>
    <x v="1"/>
    <x v="1"/>
    <x v="2"/>
    <n v="1431.22"/>
    <n v="1431.22"/>
    <n v="10"/>
    <n v="0"/>
    <x v="3"/>
    <n v="14312.2"/>
    <n v="14312.2"/>
  </r>
  <r>
    <s v="ORD1264"/>
    <x v="106"/>
    <x v="6"/>
    <x v="2"/>
    <x v="3"/>
    <n v="332.32"/>
    <n v="332.32"/>
    <n v="1"/>
    <n v="0"/>
    <x v="3"/>
    <n v="332.32"/>
    <n v="332.32"/>
  </r>
  <r>
    <s v="ORD1265"/>
    <x v="8"/>
    <x v="1"/>
    <x v="1"/>
    <x v="3"/>
    <n v="1350.8"/>
    <n v="1350.8"/>
    <n v="1"/>
    <n v="0.2"/>
    <x v="4"/>
    <n v="1350.8"/>
    <n v="1080.6400000000001"/>
  </r>
  <r>
    <s v="ORD1266"/>
    <x v="176"/>
    <x v="6"/>
    <x v="2"/>
    <x v="4"/>
    <n v="464.27"/>
    <n v="464.27"/>
    <n v="5"/>
    <n v="0.1"/>
    <x v="1"/>
    <n v="2321.35"/>
    <n v="2089.2150000000001"/>
  </r>
  <r>
    <s v="ORD1267"/>
    <x v="167"/>
    <x v="3"/>
    <x v="2"/>
    <x v="3"/>
    <n v="249.89"/>
    <n v="249.89"/>
    <n v="1"/>
    <n v="0"/>
    <x v="1"/>
    <n v="249.89"/>
    <n v="249.89"/>
  </r>
  <r>
    <s v="ORD1268"/>
    <x v="155"/>
    <x v="2"/>
    <x v="0"/>
    <x v="3"/>
    <m/>
    <n v="1206.3558695652175"/>
    <n v="10"/>
    <n v="0.15"/>
    <x v="0"/>
    <n v="12063.558695652175"/>
    <n v="10254.024891304349"/>
  </r>
  <r>
    <s v="ORD1269"/>
    <x v="158"/>
    <x v="2"/>
    <x v="0"/>
    <x v="1"/>
    <n v="1231.3800000000001"/>
    <n v="1231.3800000000001"/>
    <n v="1"/>
    <n v="0"/>
    <x v="0"/>
    <n v="1231.3800000000001"/>
    <n v="1231.3800000000001"/>
  </r>
  <r>
    <s v="ORD1271"/>
    <x v="177"/>
    <x v="2"/>
    <x v="0"/>
    <x v="0"/>
    <n v="855.39"/>
    <n v="855.39"/>
    <n v="5"/>
    <n v="0"/>
    <x v="3"/>
    <n v="4276.95"/>
    <n v="4276.95"/>
  </r>
  <r>
    <s v="ORD1272"/>
    <x v="178"/>
    <x v="3"/>
    <x v="2"/>
    <x v="0"/>
    <n v="431.42"/>
    <n v="431.42"/>
    <n v="2"/>
    <n v="0.15"/>
    <x v="2"/>
    <n v="862.84"/>
    <n v="733.41399999999999"/>
  </r>
  <r>
    <s v="ORD1273"/>
    <x v="179"/>
    <x v="5"/>
    <x v="0"/>
    <x v="1"/>
    <n v="1202.46"/>
    <n v="1202.46"/>
    <n v="1"/>
    <n v="0.1"/>
    <x v="5"/>
    <n v="1202.46"/>
    <n v="1082.2140000000002"/>
  </r>
  <r>
    <s v="ORD1274"/>
    <x v="63"/>
    <x v="3"/>
    <x v="2"/>
    <x v="0"/>
    <n v="281.29000000000002"/>
    <n v="281.29000000000002"/>
    <n v="1"/>
    <n v="0"/>
    <x v="1"/>
    <n v="281.29000000000002"/>
    <n v="281.29000000000002"/>
  </r>
  <r>
    <s v="ORD1275"/>
    <x v="180"/>
    <x v="0"/>
    <x v="0"/>
    <x v="2"/>
    <n v="1310.9"/>
    <n v="1310.9"/>
    <n v="5"/>
    <n v="0"/>
    <x v="4"/>
    <n v="6554.5"/>
    <n v="6554.5"/>
  </r>
  <r>
    <s v="ORD1276"/>
    <x v="106"/>
    <x v="3"/>
    <x v="2"/>
    <x v="0"/>
    <n v="363.93"/>
    <n v="363.93"/>
    <n v="1"/>
    <n v="0.15"/>
    <x v="1"/>
    <n v="363.93"/>
    <n v="309.34050000000002"/>
  </r>
  <r>
    <s v="ORD1277"/>
    <x v="137"/>
    <x v="5"/>
    <x v="0"/>
    <x v="1"/>
    <n v="1055.95"/>
    <n v="1055.95"/>
    <n v="1"/>
    <n v="0.1"/>
    <x v="4"/>
    <n v="1055.95"/>
    <n v="950.35500000000002"/>
  </r>
  <r>
    <s v="ORD1278"/>
    <x v="181"/>
    <x v="1"/>
    <x v="1"/>
    <x v="2"/>
    <n v="1825.13"/>
    <n v="1825.13"/>
    <n v="5"/>
    <n v="0.15"/>
    <x v="4"/>
    <n v="9125.6500000000015"/>
    <n v="7756.8025000000007"/>
  </r>
  <r>
    <s v="ORD1279"/>
    <x v="182"/>
    <x v="3"/>
    <x v="2"/>
    <x v="3"/>
    <m/>
    <n v="351.86434782608688"/>
    <n v="3"/>
    <n v="0"/>
    <x v="1"/>
    <n v="1055.5930434782606"/>
    <n v="1055.5930434782606"/>
  </r>
  <r>
    <s v="ORD1280"/>
    <x v="183"/>
    <x v="5"/>
    <x v="0"/>
    <x v="1"/>
    <n v="1227.24"/>
    <n v="1227.24"/>
    <n v="1"/>
    <n v="0.15"/>
    <x v="2"/>
    <n v="1227.24"/>
    <n v="1043.154"/>
  </r>
  <r>
    <s v="ORD1281"/>
    <x v="133"/>
    <x v="1"/>
    <x v="1"/>
    <x v="3"/>
    <n v="2038.37"/>
    <n v="2038.37"/>
    <n v="3"/>
    <n v="0.2"/>
    <x v="3"/>
    <n v="6115.11"/>
    <n v="4892.0879999999997"/>
  </r>
  <r>
    <s v="ORD1282"/>
    <x v="184"/>
    <x v="1"/>
    <x v="1"/>
    <x v="0"/>
    <n v="2370.9699999999998"/>
    <n v="2370.9699999999998"/>
    <n v="2"/>
    <n v="0"/>
    <x v="3"/>
    <n v="4741.9399999999996"/>
    <n v="4741.9399999999996"/>
  </r>
  <r>
    <s v="ORD1283"/>
    <x v="146"/>
    <x v="0"/>
    <x v="0"/>
    <x v="1"/>
    <n v="902.92"/>
    <n v="902.92"/>
    <n v="1"/>
    <n v="0"/>
    <x v="1"/>
    <n v="902.92"/>
    <n v="902.92"/>
  </r>
  <r>
    <s v="ORD1284"/>
    <x v="185"/>
    <x v="3"/>
    <x v="2"/>
    <x v="3"/>
    <n v="499.31"/>
    <n v="499.31"/>
    <n v="10"/>
    <n v="0.2"/>
    <x v="1"/>
    <n v="4993.1000000000004"/>
    <n v="3994.4800000000005"/>
  </r>
  <r>
    <s v="ORD1285"/>
    <x v="186"/>
    <x v="5"/>
    <x v="0"/>
    <x v="1"/>
    <n v="731.5"/>
    <n v="731.5"/>
    <n v="1"/>
    <n v="0.1"/>
    <x v="4"/>
    <n v="731.5"/>
    <n v="658.35"/>
  </r>
  <r>
    <s v="ORD1286"/>
    <x v="187"/>
    <x v="3"/>
    <x v="2"/>
    <x v="2"/>
    <n v="339.38"/>
    <n v="339.38"/>
    <n v="2"/>
    <n v="0"/>
    <x v="5"/>
    <n v="678.76"/>
    <n v="678.76"/>
  </r>
  <r>
    <s v="ORD1287"/>
    <x v="51"/>
    <x v="6"/>
    <x v="2"/>
    <x v="0"/>
    <n v="391.18"/>
    <n v="391.18"/>
    <n v="2"/>
    <n v="0.1"/>
    <x v="1"/>
    <n v="782.36"/>
    <n v="704.12400000000002"/>
  </r>
  <r>
    <s v="ORD1288"/>
    <x v="159"/>
    <x v="2"/>
    <x v="0"/>
    <x v="0"/>
    <n v="1267.44"/>
    <n v="1267.44"/>
    <n v="2"/>
    <n v="0"/>
    <x v="4"/>
    <n v="2534.88"/>
    <n v="2534.88"/>
  </r>
  <r>
    <s v="ORD1289"/>
    <x v="26"/>
    <x v="0"/>
    <x v="0"/>
    <x v="4"/>
    <n v="1050.55"/>
    <n v="1050.55"/>
    <n v="5"/>
    <n v="0.1"/>
    <x v="2"/>
    <n v="5252.75"/>
    <n v="4727.4750000000004"/>
  </r>
  <r>
    <s v="ORD1290"/>
    <x v="188"/>
    <x v="5"/>
    <x v="0"/>
    <x v="1"/>
    <n v="1150.05"/>
    <n v="1150.05"/>
    <n v="10"/>
    <n v="0.15"/>
    <x v="0"/>
    <n v="11500.5"/>
    <n v="9775.4249999999993"/>
  </r>
  <r>
    <s v="ORD1291"/>
    <x v="76"/>
    <x v="6"/>
    <x v="2"/>
    <x v="0"/>
    <m/>
    <n v="362.89299999999997"/>
    <n v="1"/>
    <n v="0"/>
    <x v="1"/>
    <n v="362.89299999999997"/>
    <n v="362.89299999999997"/>
  </r>
  <r>
    <s v="ORD1292"/>
    <x v="189"/>
    <x v="2"/>
    <x v="0"/>
    <x v="3"/>
    <n v="1058.55"/>
    <n v="1058.55"/>
    <n v="1"/>
    <n v="0.15"/>
    <x v="3"/>
    <n v="1058.55"/>
    <n v="899.76749999999993"/>
  </r>
  <r>
    <s v="ORD1293"/>
    <x v="35"/>
    <x v="2"/>
    <x v="0"/>
    <x v="1"/>
    <m/>
    <n v="1206.3558695652175"/>
    <n v="10"/>
    <n v="0.1"/>
    <x v="2"/>
    <n v="12063.558695652175"/>
    <n v="10857.202826086957"/>
  </r>
  <r>
    <s v="ORD1295"/>
    <x v="147"/>
    <x v="3"/>
    <x v="2"/>
    <x v="2"/>
    <n v="301.5"/>
    <n v="301.5"/>
    <n v="1"/>
    <n v="0.2"/>
    <x v="1"/>
    <n v="301.5"/>
    <n v="241.20000000000002"/>
  </r>
  <r>
    <s v="ORD1296"/>
    <x v="190"/>
    <x v="2"/>
    <x v="0"/>
    <x v="3"/>
    <n v="1415.9"/>
    <n v="1415.9"/>
    <n v="5"/>
    <n v="0"/>
    <x v="0"/>
    <n v="7079.5"/>
    <n v="7079.5"/>
  </r>
  <r>
    <s v="ORD1297"/>
    <x v="136"/>
    <x v="4"/>
    <x v="2"/>
    <x v="3"/>
    <n v="371.51"/>
    <n v="371.51"/>
    <n v="1"/>
    <n v="0"/>
    <x v="4"/>
    <n v="371.51"/>
    <n v="371.51"/>
  </r>
  <r>
    <s v="ORD1298"/>
    <x v="191"/>
    <x v="0"/>
    <x v="0"/>
    <x v="1"/>
    <n v="1395.09"/>
    <n v="1395.09"/>
    <n v="3"/>
    <n v="0"/>
    <x v="1"/>
    <n v="4185.2699999999995"/>
    <n v="4185.2699999999995"/>
  </r>
  <r>
    <s v="ORD1299"/>
    <x v="35"/>
    <x v="1"/>
    <x v="1"/>
    <x v="0"/>
    <n v="2026.67"/>
    <n v="2026.67"/>
    <n v="1"/>
    <n v="0"/>
    <x v="2"/>
    <n v="2026.67"/>
    <n v="2026.67"/>
  </r>
  <r>
    <s v="ORD1300"/>
    <x v="192"/>
    <x v="3"/>
    <x v="2"/>
    <x v="1"/>
    <n v="291.97000000000003"/>
    <n v="291.97000000000003"/>
    <n v="1"/>
    <n v="0.2"/>
    <x v="2"/>
    <n v="291.97000000000003"/>
    <n v="233.57600000000002"/>
  </r>
  <r>
    <s v="ORD1301"/>
    <x v="193"/>
    <x v="2"/>
    <x v="0"/>
    <x v="1"/>
    <n v="1065.56"/>
    <n v="1065.56"/>
    <n v="5"/>
    <n v="0.15"/>
    <x v="1"/>
    <n v="5327.7999999999993"/>
    <n v="4528.6299999999992"/>
  </r>
  <r>
    <s v="ORD1302"/>
    <x v="182"/>
    <x v="2"/>
    <x v="0"/>
    <x v="3"/>
    <n v="1379.35"/>
    <n v="1379.35"/>
    <n v="1"/>
    <n v="0"/>
    <x v="1"/>
    <n v="1379.35"/>
    <n v="1379.35"/>
  </r>
  <r>
    <s v="ORD1303"/>
    <x v="194"/>
    <x v="5"/>
    <x v="0"/>
    <x v="2"/>
    <n v="1346.49"/>
    <n v="1346.49"/>
    <n v="2"/>
    <n v="0"/>
    <x v="3"/>
    <n v="2692.98"/>
    <n v="2692.98"/>
  </r>
  <r>
    <s v="ORD1304"/>
    <x v="10"/>
    <x v="2"/>
    <x v="0"/>
    <x v="3"/>
    <n v="1194.98"/>
    <n v="1194.98"/>
    <n v="1"/>
    <n v="0.2"/>
    <x v="1"/>
    <n v="1194.98"/>
    <n v="955.98400000000004"/>
  </r>
  <r>
    <s v="ORD1305"/>
    <x v="8"/>
    <x v="8"/>
    <x v="3"/>
    <x v="3"/>
    <n v="614.08000000000004"/>
    <n v="614.08000000000004"/>
    <n v="1"/>
    <n v="0.15"/>
    <x v="1"/>
    <n v="614.08000000000004"/>
    <n v="521.96800000000007"/>
  </r>
  <r>
    <s v="ORD1306"/>
    <x v="132"/>
    <x v="1"/>
    <x v="1"/>
    <x v="1"/>
    <n v="2259.96"/>
    <n v="2259.96"/>
    <n v="1"/>
    <n v="0.2"/>
    <x v="1"/>
    <n v="2259.96"/>
    <n v="1807.9680000000001"/>
  </r>
  <r>
    <s v="ORD1307"/>
    <x v="11"/>
    <x v="2"/>
    <x v="0"/>
    <x v="2"/>
    <n v="1058.02"/>
    <n v="1058.02"/>
    <n v="2"/>
    <n v="0.1"/>
    <x v="0"/>
    <n v="2116.04"/>
    <n v="1904.4359999999999"/>
  </r>
  <r>
    <s v="ORD1308"/>
    <x v="4"/>
    <x v="5"/>
    <x v="0"/>
    <x v="1"/>
    <n v="1331.3"/>
    <n v="1331.3"/>
    <n v="2"/>
    <n v="0.15"/>
    <x v="0"/>
    <n v="2662.6"/>
    <n v="2263.21"/>
  </r>
  <r>
    <s v="ORD1309"/>
    <x v="95"/>
    <x v="6"/>
    <x v="2"/>
    <x v="3"/>
    <n v="335.85"/>
    <n v="335.85"/>
    <n v="2"/>
    <n v="0"/>
    <x v="1"/>
    <n v="671.7"/>
    <n v="671.7"/>
  </r>
  <r>
    <s v="ORD1310"/>
    <x v="54"/>
    <x v="3"/>
    <x v="2"/>
    <x v="3"/>
    <n v="334.76"/>
    <n v="334.76"/>
    <n v="5"/>
    <n v="0.15"/>
    <x v="2"/>
    <n v="1673.8"/>
    <n v="1422.73"/>
  </r>
  <r>
    <s v="ORD1311"/>
    <x v="195"/>
    <x v="3"/>
    <x v="2"/>
    <x v="1"/>
    <n v="426.91"/>
    <n v="426.91"/>
    <n v="1"/>
    <n v="0"/>
    <x v="5"/>
    <n v="426.91"/>
    <n v="426.91"/>
  </r>
  <r>
    <s v="ORD1312"/>
    <x v="160"/>
    <x v="0"/>
    <x v="0"/>
    <x v="2"/>
    <m/>
    <n v="1225.2512631578948"/>
    <n v="1"/>
    <n v="0.2"/>
    <x v="2"/>
    <n v="1225.2512631578948"/>
    <n v="980.20101052631583"/>
  </r>
  <r>
    <s v="ORD1313"/>
    <x v="196"/>
    <x v="5"/>
    <x v="0"/>
    <x v="0"/>
    <n v="1395.24"/>
    <n v="1395.24"/>
    <n v="1"/>
    <n v="0"/>
    <x v="0"/>
    <n v="1395.24"/>
    <n v="1395.24"/>
  </r>
  <r>
    <s v="ORD1314"/>
    <x v="197"/>
    <x v="3"/>
    <x v="2"/>
    <x v="0"/>
    <m/>
    <n v="351.86434782608688"/>
    <n v="5"/>
    <n v="0"/>
    <x v="0"/>
    <n v="1759.3217391304345"/>
    <n v="1759.3217391304345"/>
  </r>
  <r>
    <s v="ORD1315"/>
    <x v="133"/>
    <x v="5"/>
    <x v="0"/>
    <x v="2"/>
    <n v="1205.04"/>
    <n v="1205.04"/>
    <n v="1"/>
    <n v="0.1"/>
    <x v="5"/>
    <n v="1205.04"/>
    <n v="1084.5360000000001"/>
  </r>
  <r>
    <s v="ORD1316"/>
    <x v="198"/>
    <x v="3"/>
    <x v="2"/>
    <x v="0"/>
    <n v="397.74"/>
    <n v="397.74"/>
    <n v="2"/>
    <n v="0.1"/>
    <x v="4"/>
    <n v="795.48"/>
    <n v="715.93200000000002"/>
  </r>
  <r>
    <s v="ORD1317"/>
    <x v="199"/>
    <x v="6"/>
    <x v="2"/>
    <x v="4"/>
    <n v="328.28"/>
    <n v="328.28"/>
    <n v="3"/>
    <n v="0"/>
    <x v="1"/>
    <n v="984.83999999999992"/>
    <n v="984.83999999999992"/>
  </r>
  <r>
    <s v="ORD1318"/>
    <x v="20"/>
    <x v="5"/>
    <x v="0"/>
    <x v="1"/>
    <n v="1277.8"/>
    <n v="1277.8"/>
    <n v="1"/>
    <n v="0"/>
    <x v="1"/>
    <n v="1277.8"/>
    <n v="1277.8"/>
  </r>
  <r>
    <s v="ORD1319"/>
    <x v="18"/>
    <x v="4"/>
    <x v="2"/>
    <x v="3"/>
    <n v="340.89"/>
    <n v="340.89"/>
    <n v="10"/>
    <n v="0.1"/>
    <x v="5"/>
    <n v="3408.8999999999996"/>
    <n v="3068.0099999999998"/>
  </r>
  <r>
    <s v="ORD1320"/>
    <x v="200"/>
    <x v="8"/>
    <x v="3"/>
    <x v="0"/>
    <n v="611.64"/>
    <n v="611.64"/>
    <n v="2"/>
    <n v="0"/>
    <x v="3"/>
    <n v="1223.28"/>
    <n v="1223.28"/>
  </r>
  <r>
    <s v="ORD1321"/>
    <x v="201"/>
    <x v="7"/>
    <x v="0"/>
    <x v="1"/>
    <m/>
    <n v="1177.5582978723407"/>
    <n v="5"/>
    <n v="0"/>
    <x v="0"/>
    <n v="5887.7914893617035"/>
    <n v="5887.7914893617035"/>
  </r>
  <r>
    <s v="ORD1322"/>
    <x v="81"/>
    <x v="1"/>
    <x v="1"/>
    <x v="3"/>
    <n v="1505.44"/>
    <n v="1505.44"/>
    <n v="1"/>
    <n v="0"/>
    <x v="1"/>
    <n v="1505.44"/>
    <n v="1505.44"/>
  </r>
  <r>
    <s v="ORD1323"/>
    <x v="202"/>
    <x v="0"/>
    <x v="0"/>
    <x v="3"/>
    <n v="1702.17"/>
    <n v="1702.17"/>
    <n v="10"/>
    <n v="0"/>
    <x v="4"/>
    <n v="17021.7"/>
    <n v="17021.7"/>
  </r>
  <r>
    <s v="ORD1324"/>
    <x v="203"/>
    <x v="5"/>
    <x v="0"/>
    <x v="2"/>
    <n v="958.56"/>
    <n v="958.56"/>
    <n v="1"/>
    <n v="0.2"/>
    <x v="2"/>
    <n v="958.56"/>
    <n v="766.84799999999996"/>
  </r>
  <r>
    <s v="ORD1325"/>
    <x v="152"/>
    <x v="0"/>
    <x v="0"/>
    <x v="1"/>
    <n v="908.59"/>
    <n v="908.59"/>
    <n v="2"/>
    <n v="0.1"/>
    <x v="5"/>
    <n v="1817.18"/>
    <n v="1635.462"/>
  </r>
  <r>
    <s v="ORD1326"/>
    <x v="204"/>
    <x v="0"/>
    <x v="0"/>
    <x v="3"/>
    <n v="1477.95"/>
    <n v="1477.95"/>
    <n v="5"/>
    <n v="0"/>
    <x v="4"/>
    <n v="7389.75"/>
    <n v="7389.75"/>
  </r>
  <r>
    <s v="ORD1327"/>
    <x v="171"/>
    <x v="7"/>
    <x v="0"/>
    <x v="3"/>
    <n v="1390"/>
    <n v="1390"/>
    <n v="1"/>
    <n v="0.1"/>
    <x v="1"/>
    <n v="1390"/>
    <n v="1251"/>
  </r>
  <r>
    <s v="ORD1328"/>
    <x v="205"/>
    <x v="2"/>
    <x v="0"/>
    <x v="1"/>
    <n v="1349.79"/>
    <n v="1349.79"/>
    <n v="3"/>
    <n v="0"/>
    <x v="5"/>
    <n v="4049.37"/>
    <n v="4049.37"/>
  </r>
  <r>
    <s v="ORD1329"/>
    <x v="171"/>
    <x v="6"/>
    <x v="2"/>
    <x v="3"/>
    <n v="393.98"/>
    <n v="393.98"/>
    <n v="3"/>
    <n v="0"/>
    <x v="4"/>
    <n v="1181.94"/>
    <n v="1181.94"/>
  </r>
  <r>
    <s v="ORD1330"/>
    <x v="206"/>
    <x v="5"/>
    <x v="0"/>
    <x v="0"/>
    <n v="1197.06"/>
    <n v="1197.06"/>
    <n v="1"/>
    <n v="0"/>
    <x v="1"/>
    <n v="1197.06"/>
    <n v="1197.06"/>
  </r>
  <r>
    <s v="ORD1331"/>
    <x v="207"/>
    <x v="7"/>
    <x v="0"/>
    <x v="4"/>
    <n v="984.66"/>
    <n v="984.66"/>
    <n v="1"/>
    <n v="0.2"/>
    <x v="1"/>
    <n v="984.66"/>
    <n v="787.72800000000007"/>
  </r>
  <r>
    <s v="ORD1332"/>
    <x v="187"/>
    <x v="4"/>
    <x v="2"/>
    <x v="2"/>
    <n v="355.31"/>
    <n v="355.31"/>
    <n v="1"/>
    <n v="0"/>
    <x v="4"/>
    <n v="355.31"/>
    <n v="355.31"/>
  </r>
  <r>
    <s v="ORD1333"/>
    <x v="208"/>
    <x v="4"/>
    <x v="2"/>
    <x v="3"/>
    <n v="302.60000000000002"/>
    <n v="302.60000000000002"/>
    <n v="1"/>
    <n v="0"/>
    <x v="0"/>
    <n v="302.60000000000002"/>
    <n v="302.60000000000002"/>
  </r>
  <r>
    <s v="ORD1334"/>
    <x v="195"/>
    <x v="2"/>
    <x v="0"/>
    <x v="3"/>
    <n v="1434.03"/>
    <n v="1434.03"/>
    <n v="1"/>
    <n v="0"/>
    <x v="0"/>
    <n v="1434.03"/>
    <n v="1434.03"/>
  </r>
  <r>
    <s v="ORD1335"/>
    <x v="53"/>
    <x v="7"/>
    <x v="0"/>
    <x v="2"/>
    <n v="1164.71"/>
    <n v="1164.71"/>
    <n v="10"/>
    <n v="0"/>
    <x v="5"/>
    <n v="11647.1"/>
    <n v="11647.1"/>
  </r>
  <r>
    <s v="ORD1337"/>
    <x v="36"/>
    <x v="5"/>
    <x v="0"/>
    <x v="1"/>
    <n v="1122.8699999999999"/>
    <n v="1122.8699999999999"/>
    <n v="2"/>
    <n v="0"/>
    <x v="1"/>
    <n v="2245.7399999999998"/>
    <n v="2245.7399999999998"/>
  </r>
  <r>
    <s v="ORD1338"/>
    <x v="209"/>
    <x v="3"/>
    <x v="2"/>
    <x v="2"/>
    <m/>
    <n v="351.86434782608688"/>
    <n v="5"/>
    <n v="0"/>
    <x v="3"/>
    <n v="1759.3217391304345"/>
    <n v="1759.3217391304345"/>
  </r>
  <r>
    <s v="ORD1339"/>
    <x v="177"/>
    <x v="3"/>
    <x v="2"/>
    <x v="1"/>
    <n v="310.54000000000002"/>
    <n v="310.54000000000002"/>
    <n v="3"/>
    <n v="0.15"/>
    <x v="0"/>
    <n v="931.62000000000012"/>
    <n v="791.87700000000007"/>
  </r>
  <r>
    <s v="ORD1340"/>
    <x v="210"/>
    <x v="5"/>
    <x v="0"/>
    <x v="0"/>
    <n v="1002.67"/>
    <n v="1002.67"/>
    <n v="1"/>
    <n v="0.1"/>
    <x v="3"/>
    <n v="1002.67"/>
    <n v="902.40300000000002"/>
  </r>
  <r>
    <s v="ORD1341"/>
    <x v="211"/>
    <x v="7"/>
    <x v="0"/>
    <x v="3"/>
    <m/>
    <n v="1177.5582978723407"/>
    <n v="1"/>
    <n v="0"/>
    <x v="1"/>
    <n v="1177.5582978723407"/>
    <n v="1177.5582978723407"/>
  </r>
  <r>
    <s v="ORD1342"/>
    <x v="212"/>
    <x v="0"/>
    <x v="0"/>
    <x v="3"/>
    <n v="1258.79"/>
    <n v="1258.79"/>
    <n v="10"/>
    <n v="0.15"/>
    <x v="1"/>
    <n v="12587.9"/>
    <n v="10699.715"/>
  </r>
  <r>
    <s v="ORD1343"/>
    <x v="170"/>
    <x v="1"/>
    <x v="1"/>
    <x v="1"/>
    <n v="1617.5"/>
    <n v="1617.5"/>
    <n v="3"/>
    <n v="0.1"/>
    <x v="5"/>
    <n v="4852.5"/>
    <n v="4367.25"/>
  </r>
  <r>
    <s v="ORD1345"/>
    <x v="213"/>
    <x v="2"/>
    <x v="0"/>
    <x v="1"/>
    <n v="1255.69"/>
    <n v="1255.69"/>
    <n v="5"/>
    <n v="0"/>
    <x v="2"/>
    <n v="6278.4500000000007"/>
    <n v="6278.4500000000007"/>
  </r>
  <r>
    <s v="ORD1346"/>
    <x v="155"/>
    <x v="5"/>
    <x v="0"/>
    <x v="1"/>
    <n v="852.46"/>
    <n v="852.46"/>
    <n v="1"/>
    <n v="0"/>
    <x v="3"/>
    <n v="852.46"/>
    <n v="852.46"/>
  </r>
  <r>
    <s v="ORD1347"/>
    <x v="155"/>
    <x v="5"/>
    <x v="0"/>
    <x v="0"/>
    <n v="862.21"/>
    <n v="862.21"/>
    <n v="10"/>
    <n v="0"/>
    <x v="3"/>
    <n v="8622.1"/>
    <n v="8622.1"/>
  </r>
  <r>
    <s v="ORD1348"/>
    <x v="41"/>
    <x v="2"/>
    <x v="0"/>
    <x v="1"/>
    <n v="1027.57"/>
    <n v="1027.57"/>
    <n v="3"/>
    <n v="0"/>
    <x v="1"/>
    <n v="3082.71"/>
    <n v="3082.71"/>
  </r>
  <r>
    <s v="ORD1349"/>
    <x v="214"/>
    <x v="0"/>
    <x v="0"/>
    <x v="0"/>
    <n v="1148.77"/>
    <n v="1148.77"/>
    <n v="1"/>
    <n v="0.2"/>
    <x v="1"/>
    <n v="1148.77"/>
    <n v="919.01600000000008"/>
  </r>
  <r>
    <s v="ORD1350"/>
    <x v="170"/>
    <x v="6"/>
    <x v="2"/>
    <x v="3"/>
    <n v="371.76"/>
    <n v="371.76"/>
    <n v="1"/>
    <n v="0.15"/>
    <x v="3"/>
    <n v="371.76"/>
    <n v="315.99599999999998"/>
  </r>
  <r>
    <s v="ORD1351"/>
    <x v="215"/>
    <x v="7"/>
    <x v="0"/>
    <x v="3"/>
    <n v="1554.09"/>
    <n v="1554.09"/>
    <n v="3"/>
    <n v="0.2"/>
    <x v="0"/>
    <n v="4662.2699999999995"/>
    <n v="3729.8159999999998"/>
  </r>
  <r>
    <s v="ORD1352"/>
    <x v="92"/>
    <x v="1"/>
    <x v="1"/>
    <x v="0"/>
    <n v="2108.7600000000002"/>
    <n v="2108.7600000000002"/>
    <n v="1"/>
    <n v="0.1"/>
    <x v="2"/>
    <n v="2108.7600000000002"/>
    <n v="1897.8840000000002"/>
  </r>
  <r>
    <s v="ORD1353"/>
    <x v="216"/>
    <x v="3"/>
    <x v="2"/>
    <x v="0"/>
    <n v="338.8"/>
    <n v="338.8"/>
    <n v="2"/>
    <n v="0"/>
    <x v="1"/>
    <n v="677.6"/>
    <n v="677.6"/>
  </r>
  <r>
    <s v="ORD1354"/>
    <x v="217"/>
    <x v="1"/>
    <x v="1"/>
    <x v="0"/>
    <n v="1793.15"/>
    <n v="1793.15"/>
    <n v="10"/>
    <n v="0"/>
    <x v="4"/>
    <n v="17931.5"/>
    <n v="17931.5"/>
  </r>
  <r>
    <s v="ORD1355"/>
    <x v="51"/>
    <x v="1"/>
    <x v="1"/>
    <x v="3"/>
    <n v="1439.09"/>
    <n v="1439.09"/>
    <n v="10"/>
    <n v="0"/>
    <x v="1"/>
    <n v="14390.9"/>
    <n v="14390.9"/>
  </r>
  <r>
    <s v="ORD1356"/>
    <x v="218"/>
    <x v="2"/>
    <x v="0"/>
    <x v="3"/>
    <n v="1195.56"/>
    <n v="1195.56"/>
    <n v="3"/>
    <n v="0.2"/>
    <x v="1"/>
    <n v="3586.68"/>
    <n v="2869.3440000000001"/>
  </r>
  <r>
    <s v="ORD1357"/>
    <x v="219"/>
    <x v="4"/>
    <x v="2"/>
    <x v="0"/>
    <n v="329.79"/>
    <n v="329.79"/>
    <n v="2"/>
    <n v="0"/>
    <x v="3"/>
    <n v="659.58"/>
    <n v="659.58"/>
  </r>
  <r>
    <s v="ORD1358"/>
    <x v="220"/>
    <x v="4"/>
    <x v="2"/>
    <x v="1"/>
    <n v="372.59"/>
    <n v="372.59"/>
    <n v="1"/>
    <n v="0"/>
    <x v="2"/>
    <n v="372.59"/>
    <n v="372.59"/>
  </r>
  <r>
    <s v="ORD1359"/>
    <x v="195"/>
    <x v="1"/>
    <x v="1"/>
    <x v="0"/>
    <n v="1502.2"/>
    <n v="1502.2"/>
    <n v="1"/>
    <n v="0"/>
    <x v="1"/>
    <n v="1502.2"/>
    <n v="1502.2"/>
  </r>
  <r>
    <s v="ORD1360"/>
    <x v="23"/>
    <x v="2"/>
    <x v="0"/>
    <x v="3"/>
    <n v="1324.64"/>
    <n v="1324.64"/>
    <n v="3"/>
    <n v="0.1"/>
    <x v="2"/>
    <n v="3973.92"/>
    <n v="3576.5280000000002"/>
  </r>
  <r>
    <s v="ORD1361"/>
    <x v="221"/>
    <x v="1"/>
    <x v="1"/>
    <x v="0"/>
    <n v="2351.79"/>
    <n v="2351.79"/>
    <n v="1"/>
    <n v="0"/>
    <x v="1"/>
    <n v="2351.79"/>
    <n v="2351.79"/>
  </r>
  <r>
    <s v="ORD1362"/>
    <x v="222"/>
    <x v="4"/>
    <x v="2"/>
    <x v="1"/>
    <n v="342.39"/>
    <n v="342.39"/>
    <n v="5"/>
    <n v="0.1"/>
    <x v="4"/>
    <n v="1711.9499999999998"/>
    <n v="1540.7549999999999"/>
  </r>
  <r>
    <s v="ORD1363"/>
    <x v="223"/>
    <x v="1"/>
    <x v="1"/>
    <x v="3"/>
    <n v="1944.62"/>
    <n v="1944.62"/>
    <n v="1"/>
    <n v="0.1"/>
    <x v="1"/>
    <n v="1944.62"/>
    <n v="1750.1579999999999"/>
  </r>
  <r>
    <s v="ORD1364"/>
    <x v="6"/>
    <x v="0"/>
    <x v="0"/>
    <x v="0"/>
    <n v="1365.63"/>
    <n v="1365.63"/>
    <n v="1"/>
    <n v="0.15"/>
    <x v="3"/>
    <n v="1365.63"/>
    <n v="1160.7855"/>
  </r>
  <r>
    <s v="ORD1365"/>
    <x v="129"/>
    <x v="5"/>
    <x v="0"/>
    <x v="1"/>
    <n v="1103.71"/>
    <n v="1103.71"/>
    <n v="1"/>
    <n v="0"/>
    <x v="2"/>
    <n v="1103.71"/>
    <n v="1103.71"/>
  </r>
  <r>
    <s v="ORD1366"/>
    <x v="44"/>
    <x v="1"/>
    <x v="1"/>
    <x v="3"/>
    <n v="1880.67"/>
    <n v="1880.67"/>
    <n v="1"/>
    <n v="0"/>
    <x v="0"/>
    <n v="1880.67"/>
    <n v="1880.67"/>
  </r>
  <r>
    <s v="ORD1367"/>
    <x v="196"/>
    <x v="6"/>
    <x v="2"/>
    <x v="0"/>
    <m/>
    <n v="362.89299999999997"/>
    <n v="1"/>
    <n v="0"/>
    <x v="0"/>
    <n v="362.89299999999997"/>
    <n v="362.89299999999997"/>
  </r>
  <r>
    <s v="ORD1368"/>
    <x v="84"/>
    <x v="0"/>
    <x v="0"/>
    <x v="0"/>
    <n v="1223.44"/>
    <n v="1223.44"/>
    <n v="1"/>
    <n v="0.2"/>
    <x v="0"/>
    <n v="1223.44"/>
    <n v="978.75200000000007"/>
  </r>
  <r>
    <s v="ORD1369"/>
    <x v="2"/>
    <x v="0"/>
    <x v="0"/>
    <x v="0"/>
    <n v="1014.48"/>
    <n v="1014.48"/>
    <n v="1"/>
    <n v="0.15"/>
    <x v="3"/>
    <n v="1014.48"/>
    <n v="862.30799999999999"/>
  </r>
  <r>
    <s v="ORD1371"/>
    <x v="199"/>
    <x v="5"/>
    <x v="0"/>
    <x v="3"/>
    <n v="1319.52"/>
    <n v="1319.52"/>
    <n v="1"/>
    <n v="0"/>
    <x v="0"/>
    <n v="1319.52"/>
    <n v="1319.52"/>
  </r>
  <r>
    <s v="ORD1372"/>
    <x v="224"/>
    <x v="0"/>
    <x v="0"/>
    <x v="1"/>
    <n v="1548.27"/>
    <n v="1548.27"/>
    <n v="5"/>
    <n v="0.15"/>
    <x v="5"/>
    <n v="7741.35"/>
    <n v="6580.1475"/>
  </r>
  <r>
    <s v="ORD1373"/>
    <x v="90"/>
    <x v="3"/>
    <x v="2"/>
    <x v="1"/>
    <n v="417.15"/>
    <n v="417.15"/>
    <n v="2"/>
    <n v="0.2"/>
    <x v="0"/>
    <n v="834.3"/>
    <n v="667.44"/>
  </r>
  <r>
    <s v="ORD1374"/>
    <x v="225"/>
    <x v="3"/>
    <x v="2"/>
    <x v="1"/>
    <n v="500.72"/>
    <n v="500.72"/>
    <n v="5"/>
    <n v="0"/>
    <x v="1"/>
    <n v="2503.6000000000004"/>
    <n v="2503.6000000000004"/>
  </r>
  <r>
    <s v="ORD1375"/>
    <x v="226"/>
    <x v="2"/>
    <x v="0"/>
    <x v="1"/>
    <n v="1015.84"/>
    <n v="1015.84"/>
    <n v="1"/>
    <n v="0.1"/>
    <x v="1"/>
    <n v="1015.84"/>
    <n v="914.25600000000009"/>
  </r>
  <r>
    <s v="ORD1376"/>
    <x v="138"/>
    <x v="3"/>
    <x v="2"/>
    <x v="2"/>
    <n v="411.06"/>
    <n v="411.06"/>
    <n v="3"/>
    <n v="0.15"/>
    <x v="3"/>
    <n v="1233.18"/>
    <n v="1048.203"/>
  </r>
  <r>
    <s v="ORD1377"/>
    <x v="227"/>
    <x v="6"/>
    <x v="2"/>
    <x v="3"/>
    <n v="362.83"/>
    <n v="362.83"/>
    <n v="3"/>
    <n v="0.1"/>
    <x v="3"/>
    <n v="1088.49"/>
    <n v="979.64100000000008"/>
  </r>
  <r>
    <s v="ORD1378"/>
    <x v="228"/>
    <x v="5"/>
    <x v="0"/>
    <x v="3"/>
    <n v="1725.55"/>
    <n v="1725.55"/>
    <n v="1"/>
    <n v="0"/>
    <x v="0"/>
    <n v="1725.55"/>
    <n v="1725.55"/>
  </r>
  <r>
    <s v="ORD1379"/>
    <x v="12"/>
    <x v="3"/>
    <x v="2"/>
    <x v="0"/>
    <n v="293.42"/>
    <n v="293.42"/>
    <n v="10"/>
    <n v="0"/>
    <x v="3"/>
    <n v="2934.2000000000003"/>
    <n v="2934.2000000000003"/>
  </r>
  <r>
    <s v="ORD1380"/>
    <x v="229"/>
    <x v="2"/>
    <x v="0"/>
    <x v="0"/>
    <n v="998.47"/>
    <n v="998.47"/>
    <n v="5"/>
    <n v="0.15"/>
    <x v="1"/>
    <n v="4992.3500000000004"/>
    <n v="4243.4975000000004"/>
  </r>
  <r>
    <s v="ORD1381"/>
    <x v="230"/>
    <x v="1"/>
    <x v="1"/>
    <x v="3"/>
    <n v="1584.22"/>
    <n v="1584.22"/>
    <n v="3"/>
    <n v="0.15"/>
    <x v="1"/>
    <n v="4752.66"/>
    <n v="4039.761"/>
  </r>
  <r>
    <s v="ORD1382"/>
    <x v="230"/>
    <x v="1"/>
    <x v="1"/>
    <x v="3"/>
    <n v="1035.4000000000001"/>
    <n v="1035.4000000000001"/>
    <n v="10"/>
    <n v="0.15"/>
    <x v="1"/>
    <n v="10354"/>
    <n v="8800.9"/>
  </r>
  <r>
    <s v="ORD1383"/>
    <x v="177"/>
    <x v="3"/>
    <x v="2"/>
    <x v="3"/>
    <n v="313.2"/>
    <n v="313.2"/>
    <n v="1"/>
    <n v="0"/>
    <x v="1"/>
    <n v="313.2"/>
    <n v="313.2"/>
  </r>
  <r>
    <s v="ORD1384"/>
    <x v="204"/>
    <x v="7"/>
    <x v="0"/>
    <x v="2"/>
    <n v="1017.81"/>
    <n v="1017.81"/>
    <n v="2"/>
    <n v="0.15"/>
    <x v="1"/>
    <n v="2035.62"/>
    <n v="1730.2769999999998"/>
  </r>
  <r>
    <s v="ORD1385"/>
    <x v="54"/>
    <x v="2"/>
    <x v="0"/>
    <x v="0"/>
    <n v="1236.0899999999999"/>
    <n v="1236.0899999999999"/>
    <n v="10"/>
    <n v="0.15"/>
    <x v="1"/>
    <n v="12360.9"/>
    <n v="10506.764999999999"/>
  </r>
  <r>
    <s v="ORD1386"/>
    <x v="231"/>
    <x v="6"/>
    <x v="2"/>
    <x v="4"/>
    <n v="373.92"/>
    <n v="373.92"/>
    <n v="1"/>
    <n v="0.1"/>
    <x v="3"/>
    <n v="373.92"/>
    <n v="336.52800000000002"/>
  </r>
  <r>
    <s v="ORD1387"/>
    <x v="156"/>
    <x v="8"/>
    <x v="3"/>
    <x v="3"/>
    <n v="825.14"/>
    <n v="825.14"/>
    <n v="5"/>
    <n v="0"/>
    <x v="5"/>
    <n v="4125.7"/>
    <n v="4125.7"/>
  </r>
  <r>
    <s v="ORD1388"/>
    <x v="232"/>
    <x v="3"/>
    <x v="2"/>
    <x v="0"/>
    <n v="416.53"/>
    <n v="416.53"/>
    <n v="2"/>
    <n v="0"/>
    <x v="2"/>
    <n v="833.06"/>
    <n v="833.06"/>
  </r>
  <r>
    <s v="ORD1389"/>
    <x v="22"/>
    <x v="6"/>
    <x v="2"/>
    <x v="0"/>
    <n v="309.62"/>
    <n v="309.62"/>
    <n v="10"/>
    <n v="0.15"/>
    <x v="0"/>
    <n v="3096.2"/>
    <n v="2631.77"/>
  </r>
  <r>
    <s v="ORD1390"/>
    <x v="233"/>
    <x v="5"/>
    <x v="0"/>
    <x v="0"/>
    <n v="984.38"/>
    <n v="984.38"/>
    <n v="1"/>
    <n v="0"/>
    <x v="4"/>
    <n v="984.38"/>
    <n v="984.38"/>
  </r>
  <r>
    <s v="ORD1391"/>
    <x v="147"/>
    <x v="3"/>
    <x v="2"/>
    <x v="3"/>
    <n v="384.43"/>
    <n v="384.43"/>
    <n v="3"/>
    <n v="0"/>
    <x v="0"/>
    <n v="1153.29"/>
    <n v="1153.29"/>
  </r>
  <r>
    <s v="ORD1392"/>
    <x v="134"/>
    <x v="0"/>
    <x v="0"/>
    <x v="0"/>
    <m/>
    <n v="1225.2512631578948"/>
    <n v="1"/>
    <n v="0"/>
    <x v="5"/>
    <n v="1225.2512631578948"/>
    <n v="1225.2512631578948"/>
  </r>
  <r>
    <s v="ORD1393"/>
    <x v="206"/>
    <x v="1"/>
    <x v="1"/>
    <x v="1"/>
    <n v="2459.33"/>
    <n v="2459.33"/>
    <n v="10"/>
    <n v="0.15"/>
    <x v="1"/>
    <n v="24593.3"/>
    <n v="20904.305"/>
  </r>
  <r>
    <s v="ORD1394"/>
    <x v="228"/>
    <x v="1"/>
    <x v="1"/>
    <x v="0"/>
    <n v="2224.6"/>
    <n v="2224.6"/>
    <n v="1"/>
    <n v="0"/>
    <x v="1"/>
    <n v="2224.6"/>
    <n v="2224.6"/>
  </r>
  <r>
    <s v="ORD1395"/>
    <x v="163"/>
    <x v="1"/>
    <x v="1"/>
    <x v="2"/>
    <n v="1631.1"/>
    <n v="1631.1"/>
    <n v="2"/>
    <n v="0.15"/>
    <x v="1"/>
    <n v="3262.2"/>
    <n v="2772.87"/>
  </r>
  <r>
    <s v="ORD1396"/>
    <x v="47"/>
    <x v="7"/>
    <x v="0"/>
    <x v="3"/>
    <n v="788.85"/>
    <n v="788.85"/>
    <n v="10"/>
    <n v="0.2"/>
    <x v="0"/>
    <n v="7888.5"/>
    <n v="6310.8"/>
  </r>
  <r>
    <s v="ORD1397"/>
    <x v="234"/>
    <x v="3"/>
    <x v="2"/>
    <x v="3"/>
    <n v="444.77"/>
    <n v="444.77"/>
    <n v="3"/>
    <n v="0"/>
    <x v="4"/>
    <n v="1334.31"/>
    <n v="1334.31"/>
  </r>
  <r>
    <s v="ORD1398"/>
    <x v="235"/>
    <x v="3"/>
    <x v="2"/>
    <x v="0"/>
    <n v="341.98"/>
    <n v="341.98"/>
    <n v="1"/>
    <n v="0.15"/>
    <x v="1"/>
    <n v="341.98"/>
    <n v="290.68299999999999"/>
  </r>
  <r>
    <s v="ORD1399"/>
    <x v="46"/>
    <x v="6"/>
    <x v="2"/>
    <x v="1"/>
    <n v="436.65"/>
    <n v="436.65"/>
    <n v="2"/>
    <n v="0.2"/>
    <x v="5"/>
    <n v="873.3"/>
    <n v="698.64"/>
  </r>
  <r>
    <s v="ORD1400"/>
    <x v="236"/>
    <x v="0"/>
    <x v="0"/>
    <x v="2"/>
    <n v="817.34"/>
    <n v="817.34"/>
    <n v="5"/>
    <n v="0"/>
    <x v="0"/>
    <n v="4086.7000000000003"/>
    <n v="4086.7000000000003"/>
  </r>
  <r>
    <s v="ORD1401"/>
    <x v="220"/>
    <x v="2"/>
    <x v="0"/>
    <x v="0"/>
    <n v="1056.1500000000001"/>
    <n v="1056.1500000000001"/>
    <n v="1"/>
    <n v="0"/>
    <x v="5"/>
    <n v="1056.1500000000001"/>
    <n v="1056.1500000000001"/>
  </r>
  <r>
    <s v="ORD1402"/>
    <x v="175"/>
    <x v="3"/>
    <x v="2"/>
    <x v="3"/>
    <n v="350.37"/>
    <n v="350.37"/>
    <n v="1"/>
    <n v="0.1"/>
    <x v="0"/>
    <n v="350.37"/>
    <n v="315.33300000000003"/>
  </r>
  <r>
    <s v="ORD1403"/>
    <x v="237"/>
    <x v="3"/>
    <x v="2"/>
    <x v="0"/>
    <n v="353.29"/>
    <n v="353.29"/>
    <n v="10"/>
    <n v="0.2"/>
    <x v="5"/>
    <n v="3532.9"/>
    <n v="2826.32"/>
  </r>
  <r>
    <s v="ORD1405"/>
    <x v="238"/>
    <x v="0"/>
    <x v="0"/>
    <x v="2"/>
    <n v="1349.48"/>
    <n v="1349.48"/>
    <n v="5"/>
    <n v="0"/>
    <x v="3"/>
    <n v="6747.4"/>
    <n v="6747.4"/>
  </r>
  <r>
    <s v="ORD1406"/>
    <x v="189"/>
    <x v="3"/>
    <x v="2"/>
    <x v="0"/>
    <n v="275.27"/>
    <n v="275.27"/>
    <n v="3"/>
    <n v="0.2"/>
    <x v="0"/>
    <n v="825.81"/>
    <n v="660.64800000000002"/>
  </r>
  <r>
    <s v="ORD1407"/>
    <x v="194"/>
    <x v="0"/>
    <x v="0"/>
    <x v="2"/>
    <n v="1165.83"/>
    <n v="1165.83"/>
    <n v="2"/>
    <n v="0"/>
    <x v="2"/>
    <n v="2331.66"/>
    <n v="2331.66"/>
  </r>
  <r>
    <s v="ORD1408"/>
    <x v="122"/>
    <x v="6"/>
    <x v="2"/>
    <x v="1"/>
    <n v="358.42"/>
    <n v="358.42"/>
    <n v="2"/>
    <n v="0.2"/>
    <x v="0"/>
    <n v="716.84"/>
    <n v="573.47200000000009"/>
  </r>
  <r>
    <s v="ORD1409"/>
    <x v="109"/>
    <x v="4"/>
    <x v="2"/>
    <x v="1"/>
    <n v="386.01"/>
    <n v="386.01"/>
    <n v="3"/>
    <n v="0.1"/>
    <x v="1"/>
    <n v="1158.03"/>
    <n v="1042.2270000000001"/>
  </r>
  <r>
    <s v="ORD1410"/>
    <x v="84"/>
    <x v="7"/>
    <x v="0"/>
    <x v="3"/>
    <n v="1370.79"/>
    <n v="1370.79"/>
    <n v="2"/>
    <n v="0"/>
    <x v="2"/>
    <n v="2741.58"/>
    <n v="2741.58"/>
  </r>
  <r>
    <s v="ORD1411"/>
    <x v="6"/>
    <x v="3"/>
    <x v="2"/>
    <x v="2"/>
    <n v="271.27999999999997"/>
    <n v="271.27999999999997"/>
    <n v="1"/>
    <n v="0"/>
    <x v="5"/>
    <n v="271.27999999999997"/>
    <n v="271.27999999999997"/>
  </r>
  <r>
    <s v="ORD1412"/>
    <x v="151"/>
    <x v="6"/>
    <x v="2"/>
    <x v="1"/>
    <n v="242.61"/>
    <n v="242.61"/>
    <n v="3"/>
    <n v="0.1"/>
    <x v="0"/>
    <n v="727.83"/>
    <n v="655.04700000000003"/>
  </r>
  <r>
    <s v="ORD1413"/>
    <x v="52"/>
    <x v="4"/>
    <x v="2"/>
    <x v="2"/>
    <n v="439.44"/>
    <n v="439.44"/>
    <n v="2"/>
    <n v="0.15"/>
    <x v="0"/>
    <n v="878.88"/>
    <n v="747.048"/>
  </r>
  <r>
    <s v="ORD1414"/>
    <x v="68"/>
    <x v="8"/>
    <x v="3"/>
    <x v="0"/>
    <n v="639.88"/>
    <n v="639.88"/>
    <n v="2"/>
    <n v="0"/>
    <x v="4"/>
    <n v="1279.76"/>
    <n v="1279.76"/>
  </r>
  <r>
    <s v="ORD1415"/>
    <x v="239"/>
    <x v="0"/>
    <x v="0"/>
    <x v="1"/>
    <n v="1020.36"/>
    <n v="1020.36"/>
    <n v="2"/>
    <n v="0"/>
    <x v="5"/>
    <n v="2040.72"/>
    <n v="2040.72"/>
  </r>
  <r>
    <s v="ORD1416"/>
    <x v="75"/>
    <x v="0"/>
    <x v="0"/>
    <x v="0"/>
    <n v="1572.28"/>
    <n v="1572.28"/>
    <n v="2"/>
    <n v="0"/>
    <x v="4"/>
    <n v="3144.56"/>
    <n v="3144.56"/>
  </r>
  <r>
    <s v="ORD1417"/>
    <x v="240"/>
    <x v="3"/>
    <x v="2"/>
    <x v="3"/>
    <n v="358.1"/>
    <n v="358.1"/>
    <n v="1"/>
    <n v="0.2"/>
    <x v="3"/>
    <n v="358.1"/>
    <n v="286.48"/>
  </r>
  <r>
    <s v="ORD1418"/>
    <x v="125"/>
    <x v="2"/>
    <x v="0"/>
    <x v="0"/>
    <n v="1483.03"/>
    <n v="1483.03"/>
    <n v="5"/>
    <n v="0.2"/>
    <x v="1"/>
    <n v="7415.15"/>
    <n v="5932.12"/>
  </r>
  <r>
    <s v="ORD1419"/>
    <x v="195"/>
    <x v="3"/>
    <x v="2"/>
    <x v="1"/>
    <n v="354.73"/>
    <n v="354.73"/>
    <n v="2"/>
    <n v="0"/>
    <x v="0"/>
    <n v="709.46"/>
    <n v="709.46"/>
  </r>
  <r>
    <s v="ORD1420"/>
    <x v="241"/>
    <x v="0"/>
    <x v="0"/>
    <x v="0"/>
    <n v="1694.58"/>
    <n v="1694.58"/>
    <n v="2"/>
    <n v="0.15"/>
    <x v="5"/>
    <n v="3389.16"/>
    <n v="2880.7859999999996"/>
  </r>
  <r>
    <s v="ORD1421"/>
    <x v="121"/>
    <x v="8"/>
    <x v="3"/>
    <x v="1"/>
    <n v="810.64"/>
    <n v="810.64"/>
    <n v="1"/>
    <n v="0"/>
    <x v="1"/>
    <n v="810.64"/>
    <n v="810.64"/>
  </r>
  <r>
    <s v="ORD1422"/>
    <x v="242"/>
    <x v="5"/>
    <x v="0"/>
    <x v="2"/>
    <n v="1140.25"/>
    <n v="1140.25"/>
    <n v="2"/>
    <n v="0"/>
    <x v="5"/>
    <n v="2280.5"/>
    <n v="2280.5"/>
  </r>
  <r>
    <s v="ORD1423"/>
    <x v="243"/>
    <x v="6"/>
    <x v="2"/>
    <x v="0"/>
    <n v="418.01"/>
    <n v="418.01"/>
    <n v="1"/>
    <n v="0"/>
    <x v="0"/>
    <n v="418.01"/>
    <n v="418.01"/>
  </r>
  <r>
    <s v="ORD1424"/>
    <x v="53"/>
    <x v="3"/>
    <x v="2"/>
    <x v="1"/>
    <n v="395.18"/>
    <n v="395.18"/>
    <n v="10"/>
    <n v="0"/>
    <x v="2"/>
    <n v="3951.8"/>
    <n v="3951.8"/>
  </r>
  <r>
    <s v="ORD1425"/>
    <x v="194"/>
    <x v="3"/>
    <x v="2"/>
    <x v="3"/>
    <n v="445.8"/>
    <n v="445.8"/>
    <n v="1"/>
    <n v="0"/>
    <x v="3"/>
    <n v="445.8"/>
    <n v="445.8"/>
  </r>
  <r>
    <s v="ORD1426"/>
    <x v="127"/>
    <x v="4"/>
    <x v="2"/>
    <x v="2"/>
    <n v="282.45999999999998"/>
    <n v="282.45999999999998"/>
    <n v="2"/>
    <n v="0.2"/>
    <x v="3"/>
    <n v="564.91999999999996"/>
    <n v="451.93599999999998"/>
  </r>
  <r>
    <s v="ORD1427"/>
    <x v="244"/>
    <x v="2"/>
    <x v="0"/>
    <x v="1"/>
    <n v="1364.65"/>
    <n v="1364.65"/>
    <n v="2"/>
    <n v="0.15"/>
    <x v="0"/>
    <n v="2729.3"/>
    <n v="2319.9050000000002"/>
  </r>
  <r>
    <s v="ORD1428"/>
    <x v="153"/>
    <x v="1"/>
    <x v="1"/>
    <x v="0"/>
    <n v="2181.0300000000002"/>
    <n v="2181.0300000000002"/>
    <n v="5"/>
    <n v="0.1"/>
    <x v="2"/>
    <n v="10905.150000000001"/>
    <n v="9814.635000000002"/>
  </r>
  <r>
    <s v="ORD1429"/>
    <x v="134"/>
    <x v="6"/>
    <x v="2"/>
    <x v="0"/>
    <n v="226.89"/>
    <n v="226.89"/>
    <n v="1"/>
    <n v="0"/>
    <x v="3"/>
    <n v="226.89"/>
    <n v="226.89"/>
  </r>
  <r>
    <s v="ORD1430"/>
    <x v="245"/>
    <x v="3"/>
    <x v="2"/>
    <x v="3"/>
    <n v="267.17"/>
    <n v="267.17"/>
    <n v="1"/>
    <n v="0"/>
    <x v="1"/>
    <n v="267.17"/>
    <n v="267.17"/>
  </r>
  <r>
    <s v="ORD1431"/>
    <x v="12"/>
    <x v="1"/>
    <x v="1"/>
    <x v="2"/>
    <n v="1065.8800000000001"/>
    <n v="1065.8800000000001"/>
    <n v="3"/>
    <n v="0"/>
    <x v="5"/>
    <n v="3197.6400000000003"/>
    <n v="3197.6400000000003"/>
  </r>
  <r>
    <s v="ORD1432"/>
    <x v="115"/>
    <x v="6"/>
    <x v="2"/>
    <x v="1"/>
    <n v="331.14"/>
    <n v="331.14"/>
    <n v="2"/>
    <n v="0"/>
    <x v="4"/>
    <n v="662.28"/>
    <n v="662.28"/>
  </r>
  <r>
    <s v="ORD1433"/>
    <x v="230"/>
    <x v="3"/>
    <x v="2"/>
    <x v="3"/>
    <n v="400.23"/>
    <n v="400.23"/>
    <n v="5"/>
    <n v="0.2"/>
    <x v="2"/>
    <n v="2001.15"/>
    <n v="1600.92"/>
  </r>
  <r>
    <s v="ORD1434"/>
    <x v="172"/>
    <x v="8"/>
    <x v="3"/>
    <x v="1"/>
    <n v="780.28"/>
    <n v="780.28"/>
    <n v="1"/>
    <n v="0.2"/>
    <x v="0"/>
    <n v="780.28"/>
    <n v="624.22400000000005"/>
  </r>
  <r>
    <s v="ORD1435"/>
    <x v="246"/>
    <x v="6"/>
    <x v="2"/>
    <x v="0"/>
    <n v="355.19"/>
    <n v="355.19"/>
    <n v="2"/>
    <n v="0"/>
    <x v="1"/>
    <n v="710.38"/>
    <n v="710.38"/>
  </r>
  <r>
    <s v="ORD1436"/>
    <x v="247"/>
    <x v="1"/>
    <x v="1"/>
    <x v="2"/>
    <n v="2386.3000000000002"/>
    <n v="2386.3000000000002"/>
    <n v="3"/>
    <n v="0.1"/>
    <x v="2"/>
    <n v="7158.9000000000005"/>
    <n v="6443.01"/>
  </r>
  <r>
    <s v="ORD1437"/>
    <x v="248"/>
    <x v="8"/>
    <x v="3"/>
    <x v="2"/>
    <n v="434.39"/>
    <n v="434.39"/>
    <n v="2"/>
    <n v="0"/>
    <x v="4"/>
    <n v="868.78"/>
    <n v="868.78"/>
  </r>
  <r>
    <s v="ORD1438"/>
    <x v="249"/>
    <x v="7"/>
    <x v="0"/>
    <x v="2"/>
    <n v="791.19"/>
    <n v="791.19"/>
    <n v="3"/>
    <n v="0"/>
    <x v="4"/>
    <n v="2373.5700000000002"/>
    <n v="2373.5700000000002"/>
  </r>
  <r>
    <s v="ORD1439"/>
    <x v="83"/>
    <x v="2"/>
    <x v="0"/>
    <x v="3"/>
    <n v="1186.67"/>
    <n v="1186.67"/>
    <n v="2"/>
    <n v="0.15"/>
    <x v="2"/>
    <n v="2373.34"/>
    <n v="2017.3390000000002"/>
  </r>
  <r>
    <s v="ORD1440"/>
    <x v="250"/>
    <x v="1"/>
    <x v="1"/>
    <x v="1"/>
    <n v="1938.26"/>
    <n v="1938.26"/>
    <n v="10"/>
    <n v="0"/>
    <x v="0"/>
    <n v="19382.599999999999"/>
    <n v="19382.599999999999"/>
  </r>
  <r>
    <s v="ORD1441"/>
    <x v="109"/>
    <x v="4"/>
    <x v="2"/>
    <x v="0"/>
    <n v="347.71"/>
    <n v="347.71"/>
    <n v="1"/>
    <n v="0.15"/>
    <x v="1"/>
    <n v="347.71"/>
    <n v="295.55349999999999"/>
  </r>
  <r>
    <s v="ORD1442"/>
    <x v="24"/>
    <x v="5"/>
    <x v="0"/>
    <x v="0"/>
    <n v="703.81"/>
    <n v="703.81"/>
    <n v="1"/>
    <n v="0.15"/>
    <x v="1"/>
    <n v="703.81"/>
    <n v="598.23849999999993"/>
  </r>
  <r>
    <s v="ORD1443"/>
    <x v="251"/>
    <x v="3"/>
    <x v="2"/>
    <x v="0"/>
    <n v="343.76"/>
    <n v="343.76"/>
    <n v="10"/>
    <n v="0.2"/>
    <x v="0"/>
    <n v="3437.6"/>
    <n v="2750.08"/>
  </r>
  <r>
    <s v="ORD1444"/>
    <x v="158"/>
    <x v="4"/>
    <x v="2"/>
    <x v="0"/>
    <n v="258.69"/>
    <n v="258.69"/>
    <n v="2"/>
    <n v="0"/>
    <x v="0"/>
    <n v="517.38"/>
    <n v="517.38"/>
  </r>
  <r>
    <s v="ORD1446"/>
    <x v="65"/>
    <x v="7"/>
    <x v="0"/>
    <x v="0"/>
    <n v="1287.98"/>
    <n v="1287.98"/>
    <n v="10"/>
    <n v="0"/>
    <x v="0"/>
    <n v="12879.8"/>
    <n v="12879.8"/>
  </r>
  <r>
    <s v="ORD1447"/>
    <x v="252"/>
    <x v="3"/>
    <x v="2"/>
    <x v="1"/>
    <n v="284.20999999999998"/>
    <n v="284.20999999999998"/>
    <n v="5"/>
    <n v="0"/>
    <x v="1"/>
    <n v="1421.05"/>
    <n v="1421.05"/>
  </r>
  <r>
    <s v="ORD1448"/>
    <x v="7"/>
    <x v="3"/>
    <x v="2"/>
    <x v="3"/>
    <n v="314.02999999999997"/>
    <n v="314.02999999999997"/>
    <n v="5"/>
    <n v="0"/>
    <x v="2"/>
    <n v="1570.1499999999999"/>
    <n v="1570.1499999999999"/>
  </r>
  <r>
    <s v="ORD1449"/>
    <x v="133"/>
    <x v="1"/>
    <x v="1"/>
    <x v="1"/>
    <n v="1418.68"/>
    <n v="1418.68"/>
    <n v="1"/>
    <n v="0"/>
    <x v="2"/>
    <n v="1418.68"/>
    <n v="1418.68"/>
  </r>
  <r>
    <s v="ORD1450"/>
    <x v="253"/>
    <x v="3"/>
    <x v="2"/>
    <x v="0"/>
    <n v="345.61"/>
    <n v="345.61"/>
    <n v="2"/>
    <n v="0"/>
    <x v="5"/>
    <n v="691.22"/>
    <n v="691.22"/>
  </r>
  <r>
    <s v="ORD1451"/>
    <x v="254"/>
    <x v="6"/>
    <x v="2"/>
    <x v="2"/>
    <n v="416.86"/>
    <n v="416.86"/>
    <n v="5"/>
    <n v="0.15"/>
    <x v="1"/>
    <n v="2084.3000000000002"/>
    <n v="1771.6550000000002"/>
  </r>
  <r>
    <s v="ORD1452"/>
    <x v="34"/>
    <x v="5"/>
    <x v="0"/>
    <x v="1"/>
    <n v="963.43"/>
    <n v="963.43"/>
    <n v="10"/>
    <n v="0"/>
    <x v="3"/>
    <n v="9634.2999999999993"/>
    <n v="9634.2999999999993"/>
  </r>
  <r>
    <s v="ORD1453"/>
    <x v="28"/>
    <x v="6"/>
    <x v="2"/>
    <x v="1"/>
    <n v="385.28"/>
    <n v="385.28"/>
    <n v="1"/>
    <n v="0.2"/>
    <x v="1"/>
    <n v="385.28"/>
    <n v="308.22399999999999"/>
  </r>
  <r>
    <s v="ORD1454"/>
    <x v="234"/>
    <x v="0"/>
    <x v="0"/>
    <x v="3"/>
    <n v="1072.74"/>
    <n v="1072.74"/>
    <n v="2"/>
    <n v="0"/>
    <x v="4"/>
    <n v="2145.48"/>
    <n v="2145.48"/>
  </r>
  <r>
    <s v="ORD1455"/>
    <x v="255"/>
    <x v="2"/>
    <x v="0"/>
    <x v="0"/>
    <n v="1009.71"/>
    <n v="1009.71"/>
    <n v="10"/>
    <n v="0.15"/>
    <x v="5"/>
    <n v="10097.1"/>
    <n v="8582.5349999999999"/>
  </r>
  <r>
    <s v="ORD1456"/>
    <x v="57"/>
    <x v="1"/>
    <x v="1"/>
    <x v="1"/>
    <n v="1761.47"/>
    <n v="1761.47"/>
    <n v="5"/>
    <n v="0.1"/>
    <x v="0"/>
    <n v="8807.35"/>
    <n v="7926.6150000000007"/>
  </r>
  <r>
    <s v="ORD1457"/>
    <x v="15"/>
    <x v="7"/>
    <x v="0"/>
    <x v="1"/>
    <m/>
    <n v="1177.5582978723407"/>
    <n v="1"/>
    <n v="0.15"/>
    <x v="0"/>
    <n v="1177.5582978723407"/>
    <n v="1000.9245531914896"/>
  </r>
  <r>
    <s v="ORD1458"/>
    <x v="77"/>
    <x v="1"/>
    <x v="1"/>
    <x v="3"/>
    <n v="1600.69"/>
    <n v="1600.69"/>
    <n v="3"/>
    <n v="0.15"/>
    <x v="1"/>
    <n v="4802.07"/>
    <n v="4081.7594999999997"/>
  </r>
  <r>
    <s v="ORD1459"/>
    <x v="152"/>
    <x v="1"/>
    <x v="1"/>
    <x v="3"/>
    <n v="1368.76"/>
    <n v="1368.76"/>
    <n v="2"/>
    <n v="0.1"/>
    <x v="0"/>
    <n v="2737.52"/>
    <n v="2463.768"/>
  </r>
  <r>
    <s v="ORD1460"/>
    <x v="256"/>
    <x v="6"/>
    <x v="2"/>
    <x v="0"/>
    <n v="487.53"/>
    <n v="487.53"/>
    <n v="1"/>
    <n v="0.2"/>
    <x v="1"/>
    <n v="487.53"/>
    <n v="390.024"/>
  </r>
  <r>
    <s v="ORD1461"/>
    <x v="257"/>
    <x v="7"/>
    <x v="0"/>
    <x v="2"/>
    <n v="1208.46"/>
    <n v="1208.46"/>
    <n v="3"/>
    <n v="0.2"/>
    <x v="1"/>
    <n v="3625.38"/>
    <n v="2900.3040000000001"/>
  </r>
  <r>
    <s v="ORD1462"/>
    <x v="227"/>
    <x v="5"/>
    <x v="0"/>
    <x v="0"/>
    <n v="1032.07"/>
    <n v="1032.07"/>
    <n v="5"/>
    <n v="0.1"/>
    <x v="3"/>
    <n v="5160.3499999999995"/>
    <n v="4644.3149999999996"/>
  </r>
  <r>
    <s v="ORD1463"/>
    <x v="118"/>
    <x v="6"/>
    <x v="2"/>
    <x v="2"/>
    <n v="364.98"/>
    <n v="364.98"/>
    <n v="10"/>
    <n v="0"/>
    <x v="0"/>
    <n v="3649.8"/>
    <n v="3649.8"/>
  </r>
  <r>
    <s v="ORD1464"/>
    <x v="35"/>
    <x v="6"/>
    <x v="2"/>
    <x v="3"/>
    <n v="342.14"/>
    <n v="342.14"/>
    <n v="1"/>
    <n v="0.1"/>
    <x v="5"/>
    <n v="342.14"/>
    <n v="307.92599999999999"/>
  </r>
  <r>
    <s v="ORD1465"/>
    <x v="121"/>
    <x v="7"/>
    <x v="0"/>
    <x v="2"/>
    <n v="1146.97"/>
    <n v="1146.97"/>
    <n v="1"/>
    <n v="0.1"/>
    <x v="0"/>
    <n v="1146.97"/>
    <n v="1032.2730000000001"/>
  </r>
  <r>
    <s v="ORD1466"/>
    <x v="36"/>
    <x v="6"/>
    <x v="2"/>
    <x v="1"/>
    <n v="392.99"/>
    <n v="392.99"/>
    <n v="1"/>
    <n v="0.1"/>
    <x v="1"/>
    <n v="392.99"/>
    <n v="353.69100000000003"/>
  </r>
  <r>
    <s v="ORD1467"/>
    <x v="39"/>
    <x v="2"/>
    <x v="0"/>
    <x v="0"/>
    <n v="1381.8"/>
    <n v="1381.8"/>
    <n v="1"/>
    <n v="0"/>
    <x v="1"/>
    <n v="1381.8"/>
    <n v="1381.8"/>
  </r>
  <r>
    <s v="ORD1468"/>
    <x v="243"/>
    <x v="0"/>
    <x v="0"/>
    <x v="0"/>
    <n v="1072.68"/>
    <n v="1072.68"/>
    <n v="1"/>
    <n v="0"/>
    <x v="0"/>
    <n v="1072.68"/>
    <n v="1072.68"/>
  </r>
  <r>
    <s v="ORD1469"/>
    <x v="239"/>
    <x v="5"/>
    <x v="0"/>
    <x v="3"/>
    <n v="1061.8"/>
    <n v="1061.8"/>
    <n v="2"/>
    <n v="0.1"/>
    <x v="0"/>
    <n v="2123.6"/>
    <n v="1911.24"/>
  </r>
  <r>
    <s v="ORD1470"/>
    <x v="120"/>
    <x v="5"/>
    <x v="0"/>
    <x v="3"/>
    <n v="1133.99"/>
    <n v="1133.99"/>
    <n v="1"/>
    <n v="0"/>
    <x v="0"/>
    <n v="1133.99"/>
    <n v="1133.99"/>
  </r>
  <r>
    <s v="ORD1471"/>
    <x v="222"/>
    <x v="4"/>
    <x v="2"/>
    <x v="0"/>
    <n v="188.87"/>
    <n v="188.87"/>
    <n v="2"/>
    <n v="0.2"/>
    <x v="0"/>
    <n v="377.74"/>
    <n v="302.19200000000001"/>
  </r>
  <r>
    <s v="ORD1472"/>
    <x v="142"/>
    <x v="3"/>
    <x v="2"/>
    <x v="1"/>
    <n v="243.94"/>
    <n v="243.94"/>
    <n v="3"/>
    <n v="0"/>
    <x v="1"/>
    <n v="731.81999999999994"/>
    <n v="731.81999999999994"/>
  </r>
  <r>
    <s v="ORD1473"/>
    <x v="33"/>
    <x v="3"/>
    <x v="2"/>
    <x v="0"/>
    <n v="445.68"/>
    <n v="445.68"/>
    <n v="3"/>
    <n v="0"/>
    <x v="0"/>
    <n v="1337.04"/>
    <n v="1337.04"/>
  </r>
  <r>
    <s v="ORD1474"/>
    <x v="177"/>
    <x v="6"/>
    <x v="2"/>
    <x v="0"/>
    <n v="465.15"/>
    <n v="465.15"/>
    <n v="10"/>
    <n v="0"/>
    <x v="1"/>
    <n v="4651.5"/>
    <n v="4651.5"/>
  </r>
  <r>
    <s v="ORD1475"/>
    <x v="227"/>
    <x v="5"/>
    <x v="0"/>
    <x v="3"/>
    <n v="1140.23"/>
    <n v="1140.23"/>
    <n v="2"/>
    <n v="0"/>
    <x v="1"/>
    <n v="2280.46"/>
    <n v="2280.46"/>
  </r>
  <r>
    <s v="ORD1476"/>
    <x v="185"/>
    <x v="3"/>
    <x v="2"/>
    <x v="0"/>
    <n v="390.36"/>
    <n v="390.36"/>
    <n v="2"/>
    <n v="0.2"/>
    <x v="3"/>
    <n v="780.72"/>
    <n v="624.57600000000002"/>
  </r>
  <r>
    <s v="ORD1477"/>
    <x v="23"/>
    <x v="2"/>
    <x v="0"/>
    <x v="3"/>
    <n v="1274.7"/>
    <n v="1274.7"/>
    <n v="5"/>
    <n v="0"/>
    <x v="3"/>
    <n v="6373.5"/>
    <n v="6373.5"/>
  </r>
  <r>
    <s v="ORD1478"/>
    <x v="130"/>
    <x v="1"/>
    <x v="1"/>
    <x v="3"/>
    <n v="2908.4"/>
    <n v="2908.4"/>
    <n v="5"/>
    <n v="0.15"/>
    <x v="0"/>
    <n v="14542"/>
    <n v="12360.699999999999"/>
  </r>
  <r>
    <s v="ORD1479"/>
    <x v="146"/>
    <x v="3"/>
    <x v="2"/>
    <x v="0"/>
    <n v="428.37"/>
    <n v="428.37"/>
    <n v="3"/>
    <n v="0"/>
    <x v="1"/>
    <n v="1285.1100000000001"/>
    <n v="1285.1100000000001"/>
  </r>
  <r>
    <s v="ORD1480"/>
    <x v="110"/>
    <x v="4"/>
    <x v="2"/>
    <x v="1"/>
    <n v="341.05"/>
    <n v="341.05"/>
    <n v="10"/>
    <n v="0"/>
    <x v="1"/>
    <n v="3410.5"/>
    <n v="3410.5"/>
  </r>
  <r>
    <s v="ORD1481"/>
    <x v="90"/>
    <x v="1"/>
    <x v="1"/>
    <x v="1"/>
    <n v="1456.01"/>
    <n v="1456.01"/>
    <n v="10"/>
    <n v="0"/>
    <x v="2"/>
    <n v="14560.1"/>
    <n v="14560.1"/>
  </r>
  <r>
    <s v="ORD1482"/>
    <x v="258"/>
    <x v="0"/>
    <x v="0"/>
    <x v="0"/>
    <n v="814.45"/>
    <n v="814.45"/>
    <n v="1"/>
    <n v="0"/>
    <x v="5"/>
    <n v="814.45"/>
    <n v="814.45"/>
  </r>
  <r>
    <s v="ORD1483"/>
    <x v="259"/>
    <x v="5"/>
    <x v="0"/>
    <x v="0"/>
    <n v="1248.83"/>
    <n v="1248.83"/>
    <n v="1"/>
    <n v="0.2"/>
    <x v="0"/>
    <n v="1248.83"/>
    <n v="999.06399999999996"/>
  </r>
  <r>
    <s v="ORD1484"/>
    <x v="260"/>
    <x v="2"/>
    <x v="0"/>
    <x v="1"/>
    <n v="1018.48"/>
    <n v="1018.48"/>
    <n v="1"/>
    <n v="0"/>
    <x v="2"/>
    <n v="1018.48"/>
    <n v="1018.48"/>
  </r>
  <r>
    <s v="ORD1485"/>
    <x v="226"/>
    <x v="3"/>
    <x v="2"/>
    <x v="3"/>
    <n v="250.44"/>
    <n v="250.44"/>
    <n v="10"/>
    <n v="0.2"/>
    <x v="1"/>
    <n v="2504.4"/>
    <n v="2003.5200000000002"/>
  </r>
  <r>
    <s v="ORD1486"/>
    <x v="30"/>
    <x v="2"/>
    <x v="0"/>
    <x v="0"/>
    <n v="1044.82"/>
    <n v="1044.82"/>
    <n v="5"/>
    <n v="0"/>
    <x v="5"/>
    <n v="5224.0999999999995"/>
    <n v="5224.0999999999995"/>
  </r>
  <r>
    <s v="ORD1487"/>
    <x v="84"/>
    <x v="7"/>
    <x v="0"/>
    <x v="1"/>
    <n v="940.43"/>
    <n v="940.43"/>
    <n v="2"/>
    <n v="0"/>
    <x v="2"/>
    <n v="1880.86"/>
    <n v="1880.86"/>
  </r>
  <r>
    <s v="ORD1488"/>
    <x v="48"/>
    <x v="5"/>
    <x v="0"/>
    <x v="1"/>
    <n v="1604.91"/>
    <n v="1604.91"/>
    <n v="5"/>
    <n v="0"/>
    <x v="4"/>
    <n v="8024.55"/>
    <n v="8024.55"/>
  </r>
  <r>
    <s v="ORD1489"/>
    <x v="258"/>
    <x v="8"/>
    <x v="3"/>
    <x v="0"/>
    <n v="705.8"/>
    <n v="705.8"/>
    <n v="1"/>
    <n v="0"/>
    <x v="0"/>
    <n v="705.8"/>
    <n v="705.8"/>
  </r>
  <r>
    <s v="ORD1490"/>
    <x v="261"/>
    <x v="0"/>
    <x v="0"/>
    <x v="0"/>
    <n v="1198.0899999999999"/>
    <n v="1198.0899999999999"/>
    <n v="3"/>
    <n v="0"/>
    <x v="1"/>
    <n v="3594.2699999999995"/>
    <n v="3594.2699999999995"/>
  </r>
  <r>
    <s v="ORD1491"/>
    <x v="91"/>
    <x v="2"/>
    <x v="0"/>
    <x v="3"/>
    <n v="1555.19"/>
    <n v="1555.19"/>
    <n v="10"/>
    <n v="0.15"/>
    <x v="0"/>
    <n v="15551.900000000001"/>
    <n v="13219.115000000002"/>
  </r>
  <r>
    <s v="ORD1492"/>
    <x v="262"/>
    <x v="4"/>
    <x v="2"/>
    <x v="1"/>
    <n v="355.42"/>
    <n v="355.42"/>
    <n v="1"/>
    <n v="0.2"/>
    <x v="5"/>
    <n v="355.42"/>
    <n v="284.33600000000001"/>
  </r>
  <r>
    <s v="ORD1493"/>
    <x v="94"/>
    <x v="2"/>
    <x v="0"/>
    <x v="2"/>
    <n v="993.29"/>
    <n v="993.29"/>
    <n v="5"/>
    <n v="0.15"/>
    <x v="1"/>
    <n v="4966.45"/>
    <n v="4221.4825000000001"/>
  </r>
  <r>
    <s v="ORD1494"/>
    <x v="231"/>
    <x v="2"/>
    <x v="0"/>
    <x v="1"/>
    <n v="1565.55"/>
    <n v="1565.55"/>
    <n v="1"/>
    <n v="0"/>
    <x v="1"/>
    <n v="1565.55"/>
    <n v="1565.55"/>
  </r>
  <r>
    <s v="ORD1495"/>
    <x v="41"/>
    <x v="5"/>
    <x v="0"/>
    <x v="2"/>
    <m/>
    <n v="1165.8711904761906"/>
    <n v="3"/>
    <n v="0.15"/>
    <x v="4"/>
    <n v="3497.613571428572"/>
    <n v="2972.9715357142859"/>
  </r>
  <r>
    <s v="ORD1496"/>
    <x v="188"/>
    <x v="8"/>
    <x v="3"/>
    <x v="0"/>
    <n v="475.53"/>
    <n v="475.53"/>
    <n v="2"/>
    <n v="0"/>
    <x v="1"/>
    <n v="951.06"/>
    <n v="951.06"/>
  </r>
  <r>
    <s v="ORD1497"/>
    <x v="43"/>
    <x v="6"/>
    <x v="2"/>
    <x v="0"/>
    <n v="336.68"/>
    <n v="336.68"/>
    <n v="2"/>
    <n v="0.15"/>
    <x v="5"/>
    <n v="673.36"/>
    <n v="572.35599999999999"/>
  </r>
  <r>
    <s v="ORD1498"/>
    <x v="186"/>
    <x v="1"/>
    <x v="1"/>
    <x v="3"/>
    <n v="1484.78"/>
    <n v="1484.78"/>
    <n v="1"/>
    <n v="0"/>
    <x v="3"/>
    <n v="1484.78"/>
    <n v="1484.78"/>
  </r>
  <r>
    <s v="ORD1499"/>
    <x v="263"/>
    <x v="5"/>
    <x v="0"/>
    <x v="3"/>
    <n v="868.13"/>
    <n v="868.13"/>
    <n v="5"/>
    <n v="0"/>
    <x v="0"/>
    <n v="4340.6499999999996"/>
    <n v="4340.6499999999996"/>
  </r>
  <r>
    <s v="ORD1500"/>
    <x v="204"/>
    <x v="1"/>
    <x v="1"/>
    <x v="0"/>
    <n v="2133.42"/>
    <n v="2133.42"/>
    <n v="5"/>
    <n v="0.2"/>
    <x v="2"/>
    <n v="10667.1"/>
    <n v="8533.68"/>
  </r>
  <r>
    <s v="ORD1501"/>
    <x v="18"/>
    <x v="6"/>
    <x v="2"/>
    <x v="2"/>
    <n v="483.66"/>
    <n v="483.66"/>
    <n v="1"/>
    <n v="0.15"/>
    <x v="1"/>
    <n v="483.66"/>
    <n v="411.11099999999999"/>
  </r>
  <r>
    <s v="ORD1502"/>
    <x v="264"/>
    <x v="2"/>
    <x v="0"/>
    <x v="0"/>
    <n v="864.34"/>
    <n v="864.34"/>
    <n v="2"/>
    <n v="0"/>
    <x v="1"/>
    <n v="1728.68"/>
    <n v="1728.68"/>
  </r>
  <r>
    <s v="ORD1503"/>
    <x v="265"/>
    <x v="0"/>
    <x v="0"/>
    <x v="3"/>
    <n v="1335.11"/>
    <n v="1335.11"/>
    <n v="5"/>
    <n v="0"/>
    <x v="5"/>
    <n v="6675.5499999999993"/>
    <n v="6675.5499999999993"/>
  </r>
  <r>
    <s v="ORD1504"/>
    <x v="266"/>
    <x v="0"/>
    <x v="0"/>
    <x v="3"/>
    <n v="1043.8499999999999"/>
    <n v="1043.8499999999999"/>
    <n v="10"/>
    <n v="0"/>
    <x v="1"/>
    <n v="10438.5"/>
    <n v="10438.5"/>
  </r>
  <r>
    <s v="ORD1505"/>
    <x v="129"/>
    <x v="7"/>
    <x v="0"/>
    <x v="4"/>
    <n v="1083.0899999999999"/>
    <n v="1083.0899999999999"/>
    <n v="1"/>
    <n v="0.2"/>
    <x v="1"/>
    <n v="1083.0899999999999"/>
    <n v="866.47199999999998"/>
  </r>
  <r>
    <s v="ORD1506"/>
    <x v="8"/>
    <x v="2"/>
    <x v="0"/>
    <x v="3"/>
    <n v="1057.83"/>
    <n v="1057.83"/>
    <n v="2"/>
    <n v="0"/>
    <x v="4"/>
    <n v="2115.66"/>
    <n v="2115.66"/>
  </r>
  <r>
    <s v="ORD1507"/>
    <x v="21"/>
    <x v="2"/>
    <x v="0"/>
    <x v="3"/>
    <n v="992.64"/>
    <n v="992.64"/>
    <n v="5"/>
    <n v="0.2"/>
    <x v="3"/>
    <n v="4963.2"/>
    <n v="3970.56"/>
  </r>
  <r>
    <s v="ORD1508"/>
    <x v="267"/>
    <x v="4"/>
    <x v="2"/>
    <x v="2"/>
    <n v="353.4"/>
    <n v="353.4"/>
    <n v="3"/>
    <n v="0"/>
    <x v="4"/>
    <n v="1060.1999999999998"/>
    <n v="1060.1999999999998"/>
  </r>
  <r>
    <s v="ORD1509"/>
    <x v="170"/>
    <x v="2"/>
    <x v="0"/>
    <x v="3"/>
    <n v="1000.57"/>
    <n v="1000.57"/>
    <n v="3"/>
    <n v="0"/>
    <x v="4"/>
    <n v="3001.71"/>
    <n v="3001.71"/>
  </r>
  <r>
    <s v="ORD1510"/>
    <x v="242"/>
    <x v="1"/>
    <x v="1"/>
    <x v="0"/>
    <n v="1897.36"/>
    <n v="1897.36"/>
    <n v="5"/>
    <n v="0.1"/>
    <x v="2"/>
    <n v="9486.7999999999993"/>
    <n v="8538.119999999999"/>
  </r>
  <r>
    <s v="ORD1511"/>
    <x v="61"/>
    <x v="7"/>
    <x v="0"/>
    <x v="0"/>
    <n v="1187.94"/>
    <n v="1187.94"/>
    <n v="1"/>
    <n v="0"/>
    <x v="4"/>
    <n v="1187.94"/>
    <n v="1187.94"/>
  </r>
  <r>
    <s v="ORD1512"/>
    <x v="2"/>
    <x v="6"/>
    <x v="2"/>
    <x v="0"/>
    <n v="333.27"/>
    <n v="333.27"/>
    <n v="3"/>
    <n v="0.1"/>
    <x v="5"/>
    <n v="999.81"/>
    <n v="899.82899999999995"/>
  </r>
  <r>
    <s v="ORD1513"/>
    <x v="205"/>
    <x v="6"/>
    <x v="2"/>
    <x v="2"/>
    <n v="286.47000000000003"/>
    <n v="286.47000000000003"/>
    <n v="1"/>
    <n v="0.2"/>
    <x v="2"/>
    <n v="286.47000000000003"/>
    <n v="229.17600000000004"/>
  </r>
  <r>
    <s v="ORD1514"/>
    <x v="224"/>
    <x v="8"/>
    <x v="3"/>
    <x v="1"/>
    <n v="530.79"/>
    <n v="530.79"/>
    <n v="1"/>
    <n v="0.2"/>
    <x v="1"/>
    <n v="530.79"/>
    <n v="424.63200000000001"/>
  </r>
  <r>
    <s v="ORD1515"/>
    <x v="268"/>
    <x v="1"/>
    <x v="1"/>
    <x v="1"/>
    <n v="2071.94"/>
    <n v="2071.94"/>
    <n v="2"/>
    <n v="0"/>
    <x v="1"/>
    <n v="4143.88"/>
    <n v="4143.88"/>
  </r>
  <r>
    <s v="ORD1516"/>
    <x v="269"/>
    <x v="1"/>
    <x v="1"/>
    <x v="0"/>
    <n v="1980.33"/>
    <n v="1980.33"/>
    <n v="5"/>
    <n v="0"/>
    <x v="1"/>
    <n v="9901.65"/>
    <n v="9901.65"/>
  </r>
  <r>
    <s v="ORD1517"/>
    <x v="183"/>
    <x v="6"/>
    <x v="2"/>
    <x v="2"/>
    <n v="281.57"/>
    <n v="281.57"/>
    <n v="3"/>
    <n v="0"/>
    <x v="0"/>
    <n v="844.71"/>
    <n v="844.71"/>
  </r>
  <r>
    <s v="ORD1518"/>
    <x v="270"/>
    <x v="4"/>
    <x v="2"/>
    <x v="1"/>
    <n v="356.95"/>
    <n v="356.95"/>
    <n v="2"/>
    <n v="0.1"/>
    <x v="4"/>
    <n v="713.9"/>
    <n v="642.51"/>
  </r>
  <r>
    <s v="ORD1519"/>
    <x v="271"/>
    <x v="1"/>
    <x v="1"/>
    <x v="3"/>
    <n v="2070.5"/>
    <n v="2070.5"/>
    <n v="5"/>
    <n v="0"/>
    <x v="1"/>
    <n v="10352.5"/>
    <n v="10352.5"/>
  </r>
  <r>
    <s v="ORD1520"/>
    <x v="192"/>
    <x v="5"/>
    <x v="0"/>
    <x v="3"/>
    <n v="799.34"/>
    <n v="799.34"/>
    <n v="10"/>
    <n v="0"/>
    <x v="1"/>
    <n v="7993.4000000000005"/>
    <n v="7993.4000000000005"/>
  </r>
  <r>
    <s v="ORD1521"/>
    <x v="272"/>
    <x v="5"/>
    <x v="0"/>
    <x v="3"/>
    <n v="1330.41"/>
    <n v="1330.41"/>
    <n v="1"/>
    <n v="0"/>
    <x v="1"/>
    <n v="1330.41"/>
    <n v="1330.41"/>
  </r>
  <r>
    <s v="ORD1522"/>
    <x v="195"/>
    <x v="0"/>
    <x v="0"/>
    <x v="1"/>
    <n v="1040.97"/>
    <n v="1040.97"/>
    <n v="10"/>
    <n v="0"/>
    <x v="3"/>
    <n v="10409.700000000001"/>
    <n v="10409.700000000001"/>
  </r>
  <r>
    <s v="ORD1523"/>
    <x v="273"/>
    <x v="3"/>
    <x v="2"/>
    <x v="3"/>
    <n v="389.94"/>
    <n v="389.94"/>
    <n v="10"/>
    <n v="0.15"/>
    <x v="0"/>
    <n v="3899.4"/>
    <n v="3314.49"/>
  </r>
  <r>
    <s v="ORD1524"/>
    <x v="274"/>
    <x v="6"/>
    <x v="2"/>
    <x v="2"/>
    <n v="296.57"/>
    <n v="296.57"/>
    <n v="5"/>
    <n v="0"/>
    <x v="4"/>
    <n v="1482.85"/>
    <n v="1482.85"/>
  </r>
  <r>
    <s v="ORD1525"/>
    <x v="195"/>
    <x v="8"/>
    <x v="3"/>
    <x v="0"/>
    <n v="383.41"/>
    <n v="383.41"/>
    <n v="1"/>
    <n v="0.2"/>
    <x v="2"/>
    <n v="383.41"/>
    <n v="306.72800000000001"/>
  </r>
  <r>
    <s v="ORD1526"/>
    <x v="275"/>
    <x v="2"/>
    <x v="0"/>
    <x v="1"/>
    <n v="809.39"/>
    <n v="809.39"/>
    <n v="2"/>
    <n v="0.1"/>
    <x v="0"/>
    <n v="1618.78"/>
    <n v="1456.902"/>
  </r>
  <r>
    <s v="ORD1527"/>
    <x v="65"/>
    <x v="5"/>
    <x v="0"/>
    <x v="1"/>
    <n v="1211.54"/>
    <n v="1211.54"/>
    <n v="5"/>
    <n v="0.2"/>
    <x v="1"/>
    <n v="6057.7"/>
    <n v="4846.16"/>
  </r>
  <r>
    <s v="ORD1528"/>
    <x v="120"/>
    <x v="1"/>
    <x v="1"/>
    <x v="1"/>
    <n v="1893.5"/>
    <n v="1893.5"/>
    <n v="2"/>
    <n v="0"/>
    <x v="3"/>
    <n v="3787"/>
    <n v="3787"/>
  </r>
  <r>
    <s v="ORD1529"/>
    <x v="7"/>
    <x v="4"/>
    <x v="2"/>
    <x v="2"/>
    <n v="286.7"/>
    <n v="286.7"/>
    <n v="1"/>
    <n v="0.1"/>
    <x v="1"/>
    <n v="286.7"/>
    <n v="258.02999999999997"/>
  </r>
  <r>
    <s v="ORD1530"/>
    <x v="276"/>
    <x v="0"/>
    <x v="0"/>
    <x v="4"/>
    <n v="1353.26"/>
    <n v="1353.26"/>
    <n v="5"/>
    <n v="0.15"/>
    <x v="5"/>
    <n v="6766.3"/>
    <n v="5751.3549999999996"/>
  </r>
  <r>
    <s v="ORD1531"/>
    <x v="112"/>
    <x v="5"/>
    <x v="0"/>
    <x v="3"/>
    <n v="801.24"/>
    <n v="801.24"/>
    <n v="1"/>
    <n v="0"/>
    <x v="0"/>
    <n v="801.24"/>
    <n v="801.24"/>
  </r>
  <r>
    <s v="ORD1532"/>
    <x v="179"/>
    <x v="0"/>
    <x v="0"/>
    <x v="1"/>
    <n v="1184.1400000000001"/>
    <n v="1184.1400000000001"/>
    <n v="1"/>
    <n v="0.2"/>
    <x v="5"/>
    <n v="1184.1400000000001"/>
    <n v="947.31200000000013"/>
  </r>
  <r>
    <s v="ORD1533"/>
    <x v="277"/>
    <x v="0"/>
    <x v="0"/>
    <x v="1"/>
    <n v="909.36"/>
    <n v="909.36"/>
    <n v="5"/>
    <n v="0"/>
    <x v="1"/>
    <n v="4546.8"/>
    <n v="4546.8"/>
  </r>
  <r>
    <s v="ORD1534"/>
    <x v="123"/>
    <x v="2"/>
    <x v="0"/>
    <x v="0"/>
    <n v="1043.56"/>
    <n v="1043.56"/>
    <n v="2"/>
    <n v="0"/>
    <x v="2"/>
    <n v="2087.12"/>
    <n v="2087.12"/>
  </r>
  <r>
    <s v="ORD1535"/>
    <x v="256"/>
    <x v="4"/>
    <x v="2"/>
    <x v="0"/>
    <n v="353.32"/>
    <n v="353.32"/>
    <n v="2"/>
    <n v="0.1"/>
    <x v="1"/>
    <n v="706.64"/>
    <n v="635.976"/>
  </r>
  <r>
    <s v="ORD1536"/>
    <x v="155"/>
    <x v="3"/>
    <x v="2"/>
    <x v="2"/>
    <n v="289.77"/>
    <n v="289.77"/>
    <n v="1"/>
    <n v="0"/>
    <x v="5"/>
    <n v="289.77"/>
    <n v="289.77"/>
  </r>
  <r>
    <s v="ORD1537"/>
    <x v="278"/>
    <x v="3"/>
    <x v="2"/>
    <x v="0"/>
    <n v="323.08"/>
    <n v="323.08"/>
    <n v="5"/>
    <n v="0"/>
    <x v="4"/>
    <n v="1615.3999999999999"/>
    <n v="1615.3999999999999"/>
  </r>
  <r>
    <s v="ORD1538"/>
    <x v="191"/>
    <x v="5"/>
    <x v="0"/>
    <x v="1"/>
    <n v="1441.51"/>
    <n v="1441.51"/>
    <n v="3"/>
    <n v="0"/>
    <x v="1"/>
    <n v="4324.53"/>
    <n v="4324.53"/>
  </r>
  <r>
    <s v="ORD1539"/>
    <x v="279"/>
    <x v="3"/>
    <x v="2"/>
    <x v="3"/>
    <n v="309.62"/>
    <n v="309.62"/>
    <n v="10"/>
    <n v="0"/>
    <x v="1"/>
    <n v="3096.2"/>
    <n v="3096.2"/>
  </r>
  <r>
    <s v="ORD1540"/>
    <x v="68"/>
    <x v="2"/>
    <x v="0"/>
    <x v="2"/>
    <n v="1400.57"/>
    <n v="1400.57"/>
    <n v="10"/>
    <n v="0"/>
    <x v="4"/>
    <n v="14005.699999999999"/>
    <n v="14005.699999999999"/>
  </r>
  <r>
    <s v="ORD1541"/>
    <x v="180"/>
    <x v="6"/>
    <x v="2"/>
    <x v="0"/>
    <n v="270.92"/>
    <n v="270.92"/>
    <n v="1"/>
    <n v="0"/>
    <x v="1"/>
    <n v="270.92"/>
    <n v="270.92"/>
  </r>
  <r>
    <s v="ORD1542"/>
    <x v="277"/>
    <x v="0"/>
    <x v="0"/>
    <x v="0"/>
    <n v="1327.15"/>
    <n v="1327.15"/>
    <n v="1"/>
    <n v="0.2"/>
    <x v="0"/>
    <n v="1327.15"/>
    <n v="1061.72"/>
  </r>
  <r>
    <s v="ORD1543"/>
    <x v="142"/>
    <x v="7"/>
    <x v="0"/>
    <x v="1"/>
    <n v="1545.98"/>
    <n v="1545.98"/>
    <n v="1"/>
    <n v="0"/>
    <x v="2"/>
    <n v="1545.98"/>
    <n v="1545.98"/>
  </r>
  <r>
    <s v="ORD1544"/>
    <x v="86"/>
    <x v="3"/>
    <x v="2"/>
    <x v="2"/>
    <n v="176.98"/>
    <n v="176.98"/>
    <n v="5"/>
    <n v="0.2"/>
    <x v="3"/>
    <n v="884.9"/>
    <n v="707.92000000000007"/>
  </r>
  <r>
    <s v="ORD1545"/>
    <x v="136"/>
    <x v="1"/>
    <x v="1"/>
    <x v="1"/>
    <n v="1513.12"/>
    <n v="1513.12"/>
    <n v="5"/>
    <n v="0.1"/>
    <x v="5"/>
    <n v="7565.5999999999995"/>
    <n v="6809.04"/>
  </r>
  <r>
    <s v="ORD1546"/>
    <x v="280"/>
    <x v="4"/>
    <x v="2"/>
    <x v="0"/>
    <n v="390.4"/>
    <n v="390.4"/>
    <n v="10"/>
    <n v="0.15"/>
    <x v="1"/>
    <n v="3904"/>
    <n v="3318.4"/>
  </r>
  <r>
    <s v="ORD1547"/>
    <x v="178"/>
    <x v="3"/>
    <x v="2"/>
    <x v="0"/>
    <n v="335.79"/>
    <n v="335.79"/>
    <n v="2"/>
    <n v="0"/>
    <x v="0"/>
    <n v="671.58"/>
    <n v="671.58"/>
  </r>
  <r>
    <s v="ORD1548"/>
    <x v="87"/>
    <x v="5"/>
    <x v="0"/>
    <x v="1"/>
    <n v="1289.08"/>
    <n v="1289.08"/>
    <n v="1"/>
    <n v="0.15"/>
    <x v="3"/>
    <n v="1289.08"/>
    <n v="1095.7179999999998"/>
  </r>
  <r>
    <s v="ORD1549"/>
    <x v="281"/>
    <x v="6"/>
    <x v="2"/>
    <x v="3"/>
    <n v="307.72000000000003"/>
    <n v="307.72000000000003"/>
    <n v="10"/>
    <n v="0"/>
    <x v="0"/>
    <n v="3077.2000000000003"/>
    <n v="3077.2000000000003"/>
  </r>
  <r>
    <s v="ORD1550"/>
    <x v="109"/>
    <x v="0"/>
    <x v="0"/>
    <x v="3"/>
    <n v="1220.78"/>
    <n v="1220.78"/>
    <n v="3"/>
    <n v="0.15"/>
    <x v="1"/>
    <n v="3662.34"/>
    <n v="3112.989"/>
  </r>
  <r>
    <s v="ORD1551"/>
    <x v="239"/>
    <x v="0"/>
    <x v="0"/>
    <x v="2"/>
    <n v="1162.6400000000001"/>
    <n v="1162.6400000000001"/>
    <n v="1"/>
    <n v="0"/>
    <x v="1"/>
    <n v="1162.6400000000001"/>
    <n v="1162.6400000000001"/>
  </r>
  <r>
    <s v="ORD1552"/>
    <x v="8"/>
    <x v="5"/>
    <x v="0"/>
    <x v="2"/>
    <n v="1480.27"/>
    <n v="1480.27"/>
    <n v="1"/>
    <n v="0.2"/>
    <x v="0"/>
    <n v="1480.27"/>
    <n v="1184.2160000000001"/>
  </r>
  <r>
    <s v="ORD1553"/>
    <x v="282"/>
    <x v="8"/>
    <x v="3"/>
    <x v="0"/>
    <n v="630.53"/>
    <n v="630.53"/>
    <n v="1"/>
    <n v="0.2"/>
    <x v="3"/>
    <n v="630.53"/>
    <n v="504.42399999999998"/>
  </r>
  <r>
    <s v="ORD1554"/>
    <x v="140"/>
    <x v="6"/>
    <x v="2"/>
    <x v="0"/>
    <n v="373.63"/>
    <n v="373.63"/>
    <n v="2"/>
    <n v="0"/>
    <x v="3"/>
    <n v="747.26"/>
    <n v="747.26"/>
  </r>
  <r>
    <s v="ORD1555"/>
    <x v="191"/>
    <x v="6"/>
    <x v="2"/>
    <x v="1"/>
    <n v="321.17"/>
    <n v="321.17"/>
    <n v="5"/>
    <n v="0.1"/>
    <x v="3"/>
    <n v="1605.8500000000001"/>
    <n v="1445.2650000000001"/>
  </r>
  <r>
    <s v="ORD1556"/>
    <x v="283"/>
    <x v="0"/>
    <x v="0"/>
    <x v="2"/>
    <n v="1082.97"/>
    <n v="1082.97"/>
    <n v="1"/>
    <n v="0.1"/>
    <x v="2"/>
    <n v="1082.97"/>
    <n v="974.673"/>
  </r>
  <r>
    <s v="ORD1557"/>
    <x v="284"/>
    <x v="4"/>
    <x v="2"/>
    <x v="1"/>
    <n v="319.72000000000003"/>
    <n v="319.72000000000003"/>
    <n v="1"/>
    <n v="0.1"/>
    <x v="0"/>
    <n v="319.72000000000003"/>
    <n v="287.74800000000005"/>
  </r>
  <r>
    <s v="ORD1558"/>
    <x v="186"/>
    <x v="1"/>
    <x v="1"/>
    <x v="1"/>
    <n v="1942"/>
    <n v="1942"/>
    <n v="10"/>
    <n v="0.15"/>
    <x v="5"/>
    <n v="19420"/>
    <n v="16507"/>
  </r>
  <r>
    <s v="ORD1559"/>
    <x v="231"/>
    <x v="5"/>
    <x v="0"/>
    <x v="3"/>
    <n v="1098.96"/>
    <n v="1098.96"/>
    <n v="10"/>
    <n v="0"/>
    <x v="0"/>
    <n v="10989.6"/>
    <n v="10989.6"/>
  </r>
  <r>
    <s v="ORD1560"/>
    <x v="3"/>
    <x v="5"/>
    <x v="0"/>
    <x v="2"/>
    <n v="1269.55"/>
    <n v="1269.55"/>
    <n v="10"/>
    <n v="0.1"/>
    <x v="1"/>
    <n v="12695.5"/>
    <n v="11425.95"/>
  </r>
  <r>
    <s v="ORD1561"/>
    <x v="170"/>
    <x v="3"/>
    <x v="2"/>
    <x v="1"/>
    <n v="495.28"/>
    <n v="495.28"/>
    <n v="10"/>
    <n v="0"/>
    <x v="4"/>
    <n v="4952.7999999999993"/>
    <n v="4952.7999999999993"/>
  </r>
  <r>
    <s v="ORD1562"/>
    <x v="285"/>
    <x v="0"/>
    <x v="0"/>
    <x v="0"/>
    <n v="1409.07"/>
    <n v="1409.07"/>
    <n v="2"/>
    <n v="0"/>
    <x v="0"/>
    <n v="2818.14"/>
    <n v="2818.14"/>
  </r>
  <r>
    <s v="ORD1563"/>
    <x v="286"/>
    <x v="1"/>
    <x v="1"/>
    <x v="0"/>
    <n v="1682.63"/>
    <n v="1682.63"/>
    <n v="1"/>
    <n v="0.1"/>
    <x v="1"/>
    <n v="1682.63"/>
    <n v="1514.3670000000002"/>
  </r>
  <r>
    <s v="ORD1564"/>
    <x v="28"/>
    <x v="7"/>
    <x v="0"/>
    <x v="0"/>
    <n v="1488.29"/>
    <n v="1488.29"/>
    <n v="1"/>
    <n v="0"/>
    <x v="2"/>
    <n v="1488.29"/>
    <n v="1488.29"/>
  </r>
  <r>
    <s v="ORD1565"/>
    <x v="287"/>
    <x v="5"/>
    <x v="0"/>
    <x v="3"/>
    <n v="1102.06"/>
    <n v="1102.06"/>
    <n v="1"/>
    <n v="0.2"/>
    <x v="1"/>
    <n v="1102.06"/>
    <n v="881.64800000000002"/>
  </r>
  <r>
    <s v="ORD1566"/>
    <x v="210"/>
    <x v="7"/>
    <x v="0"/>
    <x v="1"/>
    <n v="710.85"/>
    <n v="710.85"/>
    <n v="1"/>
    <n v="0.2"/>
    <x v="0"/>
    <n v="710.85"/>
    <n v="568.68000000000006"/>
  </r>
  <r>
    <s v="ORD1567"/>
    <x v="288"/>
    <x v="6"/>
    <x v="2"/>
    <x v="3"/>
    <n v="279.43"/>
    <n v="279.43"/>
    <n v="10"/>
    <n v="0"/>
    <x v="1"/>
    <n v="2794.3"/>
    <n v="2794.3"/>
  </r>
  <r>
    <s v="ORD1568"/>
    <x v="221"/>
    <x v="5"/>
    <x v="0"/>
    <x v="3"/>
    <n v="751.01"/>
    <n v="751.01"/>
    <n v="10"/>
    <n v="0"/>
    <x v="0"/>
    <n v="7510.1"/>
    <n v="7510.1"/>
  </r>
  <r>
    <s v="ORD1569"/>
    <x v="181"/>
    <x v="1"/>
    <x v="1"/>
    <x v="3"/>
    <m/>
    <n v="1804.6623913043472"/>
    <n v="3"/>
    <n v="0.2"/>
    <x v="1"/>
    <n v="5413.9871739130413"/>
    <n v="4331.1897391304328"/>
  </r>
  <r>
    <s v="ORD1570"/>
    <x v="18"/>
    <x v="1"/>
    <x v="1"/>
    <x v="0"/>
    <n v="1806.63"/>
    <n v="1806.63"/>
    <n v="2"/>
    <n v="0"/>
    <x v="5"/>
    <n v="3613.26"/>
    <n v="3613.26"/>
  </r>
  <r>
    <s v="ORD1571"/>
    <x v="30"/>
    <x v="0"/>
    <x v="0"/>
    <x v="3"/>
    <n v="1602.34"/>
    <n v="1602.34"/>
    <n v="2"/>
    <n v="0.15"/>
    <x v="2"/>
    <n v="3204.68"/>
    <n v="2723.9779999999996"/>
  </r>
  <r>
    <s v="ORD1572"/>
    <x v="178"/>
    <x v="1"/>
    <x v="1"/>
    <x v="3"/>
    <n v="1917.69"/>
    <n v="1917.69"/>
    <n v="2"/>
    <n v="0"/>
    <x v="0"/>
    <n v="3835.38"/>
    <n v="3835.38"/>
  </r>
  <r>
    <s v="ORD1573"/>
    <x v="155"/>
    <x v="5"/>
    <x v="0"/>
    <x v="0"/>
    <n v="1147.42"/>
    <n v="1147.42"/>
    <n v="1"/>
    <n v="0"/>
    <x v="1"/>
    <n v="1147.42"/>
    <n v="1147.42"/>
  </r>
  <r>
    <s v="ORD1574"/>
    <x v="114"/>
    <x v="8"/>
    <x v="3"/>
    <x v="0"/>
    <n v="699.53"/>
    <n v="699.53"/>
    <n v="1"/>
    <n v="0.2"/>
    <x v="3"/>
    <n v="699.53"/>
    <n v="559.62400000000002"/>
  </r>
  <r>
    <s v="ORD1575"/>
    <x v="263"/>
    <x v="1"/>
    <x v="1"/>
    <x v="1"/>
    <m/>
    <n v="1804.6623913043472"/>
    <n v="3"/>
    <n v="0"/>
    <x v="1"/>
    <n v="5413.9871739130413"/>
    <n v="5413.9871739130413"/>
  </r>
  <r>
    <s v="ORD1576"/>
    <x v="38"/>
    <x v="3"/>
    <x v="2"/>
    <x v="1"/>
    <n v="366.49"/>
    <n v="366.49"/>
    <n v="2"/>
    <n v="0.2"/>
    <x v="1"/>
    <n v="732.98"/>
    <n v="586.38400000000001"/>
  </r>
  <r>
    <s v="ORD1577"/>
    <x v="43"/>
    <x v="3"/>
    <x v="2"/>
    <x v="2"/>
    <n v="403.96"/>
    <n v="403.96"/>
    <n v="1"/>
    <n v="0.1"/>
    <x v="2"/>
    <n v="403.96"/>
    <n v="363.56399999999996"/>
  </r>
  <r>
    <s v="ORD1578"/>
    <x v="150"/>
    <x v="4"/>
    <x v="2"/>
    <x v="3"/>
    <n v="246.5"/>
    <n v="246.5"/>
    <n v="3"/>
    <n v="0.1"/>
    <x v="1"/>
    <n v="739.5"/>
    <n v="665.55000000000007"/>
  </r>
  <r>
    <s v="ORD1579"/>
    <x v="168"/>
    <x v="6"/>
    <x v="2"/>
    <x v="0"/>
    <n v="430.06"/>
    <n v="430.06"/>
    <n v="1"/>
    <n v="0.2"/>
    <x v="1"/>
    <n v="430.06"/>
    <n v="344.048"/>
  </r>
  <r>
    <s v="ORD1580"/>
    <x v="117"/>
    <x v="0"/>
    <x v="0"/>
    <x v="1"/>
    <n v="1281.24"/>
    <n v="1281.24"/>
    <n v="3"/>
    <n v="0"/>
    <x v="2"/>
    <n v="3843.7200000000003"/>
    <n v="3843.7200000000003"/>
  </r>
  <r>
    <s v="ORD1581"/>
    <x v="93"/>
    <x v="3"/>
    <x v="2"/>
    <x v="1"/>
    <n v="320.93"/>
    <n v="320.93"/>
    <n v="2"/>
    <n v="0.1"/>
    <x v="0"/>
    <n v="641.86"/>
    <n v="577.67399999999998"/>
  </r>
  <r>
    <s v="ORD1582"/>
    <x v="196"/>
    <x v="6"/>
    <x v="2"/>
    <x v="3"/>
    <n v="394.29"/>
    <n v="394.29"/>
    <n v="3"/>
    <n v="0.15"/>
    <x v="3"/>
    <n v="1182.8700000000001"/>
    <n v="1005.4395000000001"/>
  </r>
  <r>
    <s v="ORD1583"/>
    <x v="37"/>
    <x v="0"/>
    <x v="0"/>
    <x v="3"/>
    <n v="1744.97"/>
    <n v="1744.97"/>
    <n v="3"/>
    <n v="0.2"/>
    <x v="5"/>
    <n v="5234.91"/>
    <n v="4187.9279999999999"/>
  </r>
  <r>
    <s v="ORD1584"/>
    <x v="126"/>
    <x v="2"/>
    <x v="0"/>
    <x v="0"/>
    <n v="1243.6500000000001"/>
    <n v="1243.6500000000001"/>
    <n v="10"/>
    <n v="0"/>
    <x v="4"/>
    <n v="12436.5"/>
    <n v="12436.5"/>
  </r>
  <r>
    <s v="ORD1585"/>
    <x v="125"/>
    <x v="8"/>
    <x v="3"/>
    <x v="3"/>
    <n v="629.79"/>
    <n v="629.79"/>
    <n v="10"/>
    <n v="0.1"/>
    <x v="5"/>
    <n v="6297.9"/>
    <n v="5668.11"/>
  </r>
  <r>
    <s v="ORD1586"/>
    <x v="14"/>
    <x v="3"/>
    <x v="2"/>
    <x v="1"/>
    <n v="317.83999999999997"/>
    <n v="317.83999999999997"/>
    <n v="1"/>
    <n v="0.2"/>
    <x v="0"/>
    <n v="317.83999999999997"/>
    <n v="254.27199999999999"/>
  </r>
  <r>
    <s v="ORD1587"/>
    <x v="84"/>
    <x v="1"/>
    <x v="1"/>
    <x v="3"/>
    <n v="1494.06"/>
    <n v="1494.06"/>
    <n v="1"/>
    <n v="0.2"/>
    <x v="1"/>
    <n v="1494.06"/>
    <n v="1195.248"/>
  </r>
  <r>
    <s v="ORD1588"/>
    <x v="160"/>
    <x v="6"/>
    <x v="2"/>
    <x v="0"/>
    <n v="408.12"/>
    <n v="408.12"/>
    <n v="1"/>
    <n v="0"/>
    <x v="1"/>
    <n v="408.12"/>
    <n v="408.12"/>
  </r>
  <r>
    <s v="ORD1589"/>
    <x v="220"/>
    <x v="0"/>
    <x v="0"/>
    <x v="3"/>
    <n v="994.54"/>
    <n v="994.54"/>
    <n v="2"/>
    <n v="0.1"/>
    <x v="4"/>
    <n v="1989.08"/>
    <n v="1790.172"/>
  </r>
  <r>
    <s v="ORD1590"/>
    <x v="67"/>
    <x v="4"/>
    <x v="2"/>
    <x v="0"/>
    <m/>
    <n v="336.57634615384626"/>
    <n v="2"/>
    <n v="0.1"/>
    <x v="4"/>
    <n v="673.15269230769252"/>
    <n v="605.8374230769233"/>
  </r>
  <r>
    <s v="ORD1591"/>
    <x v="75"/>
    <x v="1"/>
    <x v="1"/>
    <x v="0"/>
    <n v="1628.04"/>
    <n v="1628.04"/>
    <n v="10"/>
    <n v="0"/>
    <x v="5"/>
    <n v="16280.4"/>
    <n v="16280.4"/>
  </r>
  <r>
    <s v="ORD1592"/>
    <x v="113"/>
    <x v="4"/>
    <x v="2"/>
    <x v="3"/>
    <n v="383.53"/>
    <n v="383.53"/>
    <n v="5"/>
    <n v="0.2"/>
    <x v="3"/>
    <n v="1917.6499999999999"/>
    <n v="1534.12"/>
  </r>
  <r>
    <s v="ORD1593"/>
    <x v="130"/>
    <x v="3"/>
    <x v="2"/>
    <x v="0"/>
    <n v="373.36"/>
    <n v="373.36"/>
    <n v="5"/>
    <n v="0"/>
    <x v="4"/>
    <n v="1866.8000000000002"/>
    <n v="1866.8000000000002"/>
  </r>
  <r>
    <s v="ORD1594"/>
    <x v="159"/>
    <x v="2"/>
    <x v="0"/>
    <x v="3"/>
    <n v="1449.01"/>
    <n v="1449.01"/>
    <n v="2"/>
    <n v="0"/>
    <x v="1"/>
    <n v="2898.02"/>
    <n v="2898.02"/>
  </r>
  <r>
    <s v="ORD1595"/>
    <x v="289"/>
    <x v="5"/>
    <x v="0"/>
    <x v="3"/>
    <n v="1077.5999999999999"/>
    <n v="1077.5999999999999"/>
    <n v="1"/>
    <n v="0"/>
    <x v="2"/>
    <n v="1077.5999999999999"/>
    <n v="1077.5999999999999"/>
  </r>
  <r>
    <s v="ORD1596"/>
    <x v="290"/>
    <x v="0"/>
    <x v="0"/>
    <x v="0"/>
    <n v="1135.23"/>
    <n v="1135.23"/>
    <n v="1"/>
    <n v="0.1"/>
    <x v="1"/>
    <n v="1135.23"/>
    <n v="1021.707"/>
  </r>
  <r>
    <s v="ORD1597"/>
    <x v="291"/>
    <x v="4"/>
    <x v="2"/>
    <x v="1"/>
    <m/>
    <n v="336.57634615384626"/>
    <n v="1"/>
    <n v="0.1"/>
    <x v="1"/>
    <n v="336.57634615384626"/>
    <n v="302.91871153846165"/>
  </r>
  <r>
    <s v="ORD1598"/>
    <x v="221"/>
    <x v="5"/>
    <x v="0"/>
    <x v="1"/>
    <n v="1093.3699999999999"/>
    <n v="1093.3699999999999"/>
    <n v="1"/>
    <n v="0"/>
    <x v="4"/>
    <n v="1093.3699999999999"/>
    <n v="1093.3699999999999"/>
  </r>
  <r>
    <s v="ORD1599"/>
    <x v="292"/>
    <x v="0"/>
    <x v="0"/>
    <x v="1"/>
    <n v="1290.55"/>
    <n v="1290.55"/>
    <n v="3"/>
    <n v="0.1"/>
    <x v="1"/>
    <n v="3871.6499999999996"/>
    <n v="3484.4849999999997"/>
  </r>
  <r>
    <s v="ORD1600"/>
    <x v="34"/>
    <x v="5"/>
    <x v="0"/>
    <x v="1"/>
    <n v="1381.68"/>
    <n v="1381.68"/>
    <n v="2"/>
    <n v="0.2"/>
    <x v="4"/>
    <n v="2763.36"/>
    <n v="2210.6880000000001"/>
  </r>
  <r>
    <s v="ORD1601"/>
    <x v="100"/>
    <x v="1"/>
    <x v="1"/>
    <x v="0"/>
    <n v="1468.02"/>
    <n v="1468.02"/>
    <n v="2"/>
    <n v="0.2"/>
    <x v="5"/>
    <n v="2936.04"/>
    <n v="2348.8319999999999"/>
  </r>
  <r>
    <s v="ORD1602"/>
    <x v="64"/>
    <x v="5"/>
    <x v="0"/>
    <x v="3"/>
    <n v="1408.71"/>
    <n v="1408.71"/>
    <n v="2"/>
    <n v="0"/>
    <x v="2"/>
    <n v="2817.42"/>
    <n v="2817.42"/>
  </r>
  <r>
    <s v="ORD1603"/>
    <x v="293"/>
    <x v="0"/>
    <x v="0"/>
    <x v="0"/>
    <n v="1525.35"/>
    <n v="1525.35"/>
    <n v="5"/>
    <n v="0"/>
    <x v="5"/>
    <n v="7626.75"/>
    <n v="7626.75"/>
  </r>
  <r>
    <s v="ORD1604"/>
    <x v="140"/>
    <x v="5"/>
    <x v="0"/>
    <x v="3"/>
    <n v="1299.22"/>
    <n v="1299.22"/>
    <n v="10"/>
    <n v="0.1"/>
    <x v="4"/>
    <n v="12992.2"/>
    <n v="11692.980000000001"/>
  </r>
  <r>
    <s v="ORD1605"/>
    <x v="213"/>
    <x v="1"/>
    <x v="1"/>
    <x v="2"/>
    <n v="2475.65"/>
    <n v="2475.65"/>
    <n v="1"/>
    <n v="0.15"/>
    <x v="5"/>
    <n v="2475.65"/>
    <n v="2104.3025000000002"/>
  </r>
  <r>
    <s v="ORD1606"/>
    <x v="294"/>
    <x v="6"/>
    <x v="2"/>
    <x v="3"/>
    <n v="295.83"/>
    <n v="295.83"/>
    <n v="5"/>
    <n v="0.15"/>
    <x v="1"/>
    <n v="1479.1499999999999"/>
    <n v="1257.2774999999999"/>
  </r>
  <r>
    <s v="ORD1607"/>
    <x v="218"/>
    <x v="6"/>
    <x v="2"/>
    <x v="0"/>
    <n v="262.87"/>
    <n v="262.87"/>
    <n v="1"/>
    <n v="0.1"/>
    <x v="4"/>
    <n v="262.87"/>
    <n v="236.583"/>
  </r>
  <r>
    <s v="ORD1608"/>
    <x v="171"/>
    <x v="2"/>
    <x v="0"/>
    <x v="0"/>
    <n v="773.11"/>
    <n v="773.11"/>
    <n v="1"/>
    <n v="0"/>
    <x v="0"/>
    <n v="773.11"/>
    <n v="773.11"/>
  </r>
  <r>
    <s v="ORD1609"/>
    <x v="215"/>
    <x v="2"/>
    <x v="0"/>
    <x v="0"/>
    <n v="1559.05"/>
    <n v="1559.05"/>
    <n v="2"/>
    <n v="0.2"/>
    <x v="2"/>
    <n v="3118.1"/>
    <n v="2494.48"/>
  </r>
  <r>
    <s v="ORD1610"/>
    <x v="283"/>
    <x v="5"/>
    <x v="0"/>
    <x v="2"/>
    <n v="1357.05"/>
    <n v="1357.05"/>
    <n v="5"/>
    <n v="0"/>
    <x v="2"/>
    <n v="6785.25"/>
    <n v="6785.25"/>
  </r>
  <r>
    <s v="ORD1611"/>
    <x v="21"/>
    <x v="7"/>
    <x v="0"/>
    <x v="0"/>
    <m/>
    <n v="1177.5582978723407"/>
    <n v="2"/>
    <n v="0"/>
    <x v="0"/>
    <n v="2355.1165957446815"/>
    <n v="2355.1165957446815"/>
  </r>
  <r>
    <s v="ORD1612"/>
    <x v="138"/>
    <x v="2"/>
    <x v="0"/>
    <x v="0"/>
    <n v="1267.19"/>
    <n v="1267.19"/>
    <n v="1"/>
    <n v="0.15"/>
    <x v="1"/>
    <n v="1267.19"/>
    <n v="1077.1115"/>
  </r>
  <r>
    <s v="ORD1613"/>
    <x v="55"/>
    <x v="3"/>
    <x v="2"/>
    <x v="0"/>
    <n v="271.22000000000003"/>
    <n v="271.22000000000003"/>
    <n v="1"/>
    <n v="0"/>
    <x v="1"/>
    <n v="271.22000000000003"/>
    <n v="271.22000000000003"/>
  </r>
  <r>
    <s v="ORD1614"/>
    <x v="140"/>
    <x v="4"/>
    <x v="2"/>
    <x v="3"/>
    <n v="521.20000000000005"/>
    <n v="521.20000000000005"/>
    <n v="1"/>
    <n v="0"/>
    <x v="4"/>
    <n v="521.20000000000005"/>
    <n v="521.20000000000005"/>
  </r>
  <r>
    <s v="ORD1615"/>
    <x v="161"/>
    <x v="8"/>
    <x v="3"/>
    <x v="2"/>
    <n v="615.51"/>
    <n v="615.51"/>
    <n v="10"/>
    <n v="0.15"/>
    <x v="5"/>
    <n v="6155.1"/>
    <n v="5231.835"/>
  </r>
  <r>
    <s v="ORD1616"/>
    <x v="136"/>
    <x v="6"/>
    <x v="2"/>
    <x v="1"/>
    <n v="357.66"/>
    <n v="357.66"/>
    <n v="1"/>
    <n v="0"/>
    <x v="5"/>
    <n v="357.66"/>
    <n v="357.66"/>
  </r>
  <r>
    <s v="ORD1617"/>
    <x v="112"/>
    <x v="4"/>
    <x v="2"/>
    <x v="1"/>
    <n v="400.8"/>
    <n v="400.8"/>
    <n v="1"/>
    <n v="0"/>
    <x v="1"/>
    <n v="400.8"/>
    <n v="400.8"/>
  </r>
  <r>
    <s v="ORD1618"/>
    <x v="108"/>
    <x v="6"/>
    <x v="2"/>
    <x v="0"/>
    <n v="383.67"/>
    <n v="383.67"/>
    <n v="2"/>
    <n v="0"/>
    <x v="1"/>
    <n v="767.34"/>
    <n v="767.34"/>
  </r>
  <r>
    <s v="ORD1620"/>
    <x v="141"/>
    <x v="5"/>
    <x v="0"/>
    <x v="2"/>
    <n v="1010.29"/>
    <n v="1010.29"/>
    <n v="1"/>
    <n v="0"/>
    <x v="4"/>
    <n v="1010.29"/>
    <n v="1010.29"/>
  </r>
  <r>
    <s v="ORD1621"/>
    <x v="295"/>
    <x v="3"/>
    <x v="2"/>
    <x v="2"/>
    <n v="383"/>
    <n v="383"/>
    <n v="3"/>
    <n v="0"/>
    <x v="1"/>
    <n v="1149"/>
    <n v="1149"/>
  </r>
  <r>
    <s v="ORD1622"/>
    <x v="269"/>
    <x v="5"/>
    <x v="0"/>
    <x v="0"/>
    <n v="1651.69"/>
    <n v="1651.69"/>
    <n v="3"/>
    <n v="0"/>
    <x v="0"/>
    <n v="4955.07"/>
    <n v="4955.07"/>
  </r>
  <r>
    <s v="ORD1623"/>
    <x v="296"/>
    <x v="5"/>
    <x v="0"/>
    <x v="0"/>
    <n v="1522.9"/>
    <n v="1522.9"/>
    <n v="1"/>
    <n v="0"/>
    <x v="2"/>
    <n v="1522.9"/>
    <n v="1522.9"/>
  </r>
  <r>
    <s v="ORD1624"/>
    <x v="101"/>
    <x v="2"/>
    <x v="0"/>
    <x v="0"/>
    <n v="1582.36"/>
    <n v="1582.36"/>
    <n v="2"/>
    <n v="0"/>
    <x v="1"/>
    <n v="3164.72"/>
    <n v="3164.72"/>
  </r>
  <r>
    <s v="ORD1625"/>
    <x v="297"/>
    <x v="6"/>
    <x v="2"/>
    <x v="2"/>
    <n v="314.20999999999998"/>
    <n v="314.20999999999998"/>
    <n v="1"/>
    <n v="0"/>
    <x v="2"/>
    <n v="314.20999999999998"/>
    <n v="314.20999999999998"/>
  </r>
  <r>
    <s v="ORD1626"/>
    <x v="146"/>
    <x v="5"/>
    <x v="0"/>
    <x v="1"/>
    <n v="962.49"/>
    <n v="962.49"/>
    <n v="5"/>
    <n v="0"/>
    <x v="1"/>
    <n v="4812.45"/>
    <n v="4812.45"/>
  </r>
  <r>
    <s v="ORD1627"/>
    <x v="227"/>
    <x v="1"/>
    <x v="1"/>
    <x v="2"/>
    <m/>
    <n v="1804.6623913043472"/>
    <n v="2"/>
    <n v="0"/>
    <x v="1"/>
    <n v="3609.3247826086945"/>
    <n v="3609.3247826086945"/>
  </r>
  <r>
    <s v="ORD1628"/>
    <x v="254"/>
    <x v="2"/>
    <x v="0"/>
    <x v="0"/>
    <n v="1213.3699999999999"/>
    <n v="1213.3699999999999"/>
    <n v="1"/>
    <n v="0"/>
    <x v="0"/>
    <n v="1213.3699999999999"/>
    <n v="1213.3699999999999"/>
  </r>
  <r>
    <s v="ORD1629"/>
    <x v="9"/>
    <x v="5"/>
    <x v="0"/>
    <x v="0"/>
    <n v="1462.61"/>
    <n v="1462.61"/>
    <n v="5"/>
    <n v="0"/>
    <x v="1"/>
    <n v="7313.0499999999993"/>
    <n v="7313.0499999999993"/>
  </r>
  <r>
    <s v="ORD1630"/>
    <x v="172"/>
    <x v="5"/>
    <x v="0"/>
    <x v="3"/>
    <n v="793.81"/>
    <n v="793.81"/>
    <n v="3"/>
    <n v="0"/>
    <x v="2"/>
    <n v="2381.4299999999998"/>
    <n v="2381.4299999999998"/>
  </r>
  <r>
    <s v="ORD1631"/>
    <x v="159"/>
    <x v="3"/>
    <x v="2"/>
    <x v="0"/>
    <n v="457.07"/>
    <n v="457.07"/>
    <n v="2"/>
    <n v="0"/>
    <x v="0"/>
    <n v="914.14"/>
    <n v="914.14"/>
  </r>
  <r>
    <s v="ORD1632"/>
    <x v="78"/>
    <x v="4"/>
    <x v="2"/>
    <x v="0"/>
    <n v="338.94"/>
    <n v="338.94"/>
    <n v="10"/>
    <n v="0"/>
    <x v="1"/>
    <n v="3389.4"/>
    <n v="3389.4"/>
  </r>
  <r>
    <s v="ORD1633"/>
    <x v="281"/>
    <x v="5"/>
    <x v="0"/>
    <x v="4"/>
    <n v="1097.55"/>
    <n v="1097.55"/>
    <n v="2"/>
    <n v="0"/>
    <x v="5"/>
    <n v="2195.1"/>
    <n v="2195.1"/>
  </r>
  <r>
    <s v="ORD1634"/>
    <x v="0"/>
    <x v="8"/>
    <x v="3"/>
    <x v="2"/>
    <n v="478.55"/>
    <n v="478.55"/>
    <n v="2"/>
    <n v="0.15"/>
    <x v="1"/>
    <n v="957.1"/>
    <n v="813.53499999999997"/>
  </r>
  <r>
    <s v="ORD1635"/>
    <x v="150"/>
    <x v="0"/>
    <x v="0"/>
    <x v="3"/>
    <m/>
    <n v="1225.2512631578948"/>
    <n v="1"/>
    <n v="0"/>
    <x v="5"/>
    <n v="1225.2512631578948"/>
    <n v="1225.2512631578948"/>
  </r>
  <r>
    <s v="ORD1636"/>
    <x v="298"/>
    <x v="5"/>
    <x v="0"/>
    <x v="4"/>
    <n v="1397.56"/>
    <n v="1397.56"/>
    <n v="2"/>
    <n v="0"/>
    <x v="0"/>
    <n v="2795.12"/>
    <n v="2795.12"/>
  </r>
  <r>
    <s v="ORD1637"/>
    <x v="175"/>
    <x v="7"/>
    <x v="0"/>
    <x v="1"/>
    <n v="1217.5999999999999"/>
    <n v="1217.5999999999999"/>
    <n v="10"/>
    <n v="0"/>
    <x v="3"/>
    <n v="12176"/>
    <n v="12176"/>
  </r>
  <r>
    <s v="ORD1638"/>
    <x v="2"/>
    <x v="4"/>
    <x v="2"/>
    <x v="3"/>
    <n v="259.7"/>
    <n v="259.7"/>
    <n v="1"/>
    <n v="0"/>
    <x v="2"/>
    <n v="259.7"/>
    <n v="259.7"/>
  </r>
  <r>
    <s v="ORD1639"/>
    <x v="160"/>
    <x v="3"/>
    <x v="2"/>
    <x v="1"/>
    <n v="259.33999999999997"/>
    <n v="259.33999999999997"/>
    <n v="10"/>
    <n v="0.2"/>
    <x v="4"/>
    <n v="2593.3999999999996"/>
    <n v="2074.7199999999998"/>
  </r>
  <r>
    <s v="ORD1640"/>
    <x v="299"/>
    <x v="0"/>
    <x v="0"/>
    <x v="0"/>
    <n v="1119.4100000000001"/>
    <n v="1119.4100000000001"/>
    <n v="1"/>
    <n v="0.2"/>
    <x v="1"/>
    <n v="1119.4100000000001"/>
    <n v="895.52800000000013"/>
  </r>
  <r>
    <s v="ORD1641"/>
    <x v="29"/>
    <x v="2"/>
    <x v="0"/>
    <x v="0"/>
    <n v="1600.57"/>
    <n v="1600.57"/>
    <n v="1"/>
    <n v="0.1"/>
    <x v="3"/>
    <n v="1600.57"/>
    <n v="1440.5129999999999"/>
  </r>
  <r>
    <s v="ORD1642"/>
    <x v="300"/>
    <x v="1"/>
    <x v="1"/>
    <x v="3"/>
    <n v="1706.55"/>
    <n v="1706.55"/>
    <n v="3"/>
    <n v="0.1"/>
    <x v="1"/>
    <n v="5119.6499999999996"/>
    <n v="4607.6849999999995"/>
  </r>
  <r>
    <s v="ORD1643"/>
    <x v="141"/>
    <x v="6"/>
    <x v="2"/>
    <x v="2"/>
    <m/>
    <n v="362.89299999999997"/>
    <n v="2"/>
    <n v="0"/>
    <x v="0"/>
    <n v="725.78599999999994"/>
    <n v="725.78599999999994"/>
  </r>
  <r>
    <s v="ORD1644"/>
    <x v="19"/>
    <x v="1"/>
    <x v="1"/>
    <x v="3"/>
    <n v="1711.53"/>
    <n v="1711.53"/>
    <n v="1"/>
    <n v="0"/>
    <x v="4"/>
    <n v="1711.53"/>
    <n v="1711.53"/>
  </r>
  <r>
    <s v="ORD1645"/>
    <x v="104"/>
    <x v="1"/>
    <x v="1"/>
    <x v="2"/>
    <m/>
    <n v="1804.6623913043472"/>
    <n v="3"/>
    <n v="0.1"/>
    <x v="4"/>
    <n v="5413.9871739130413"/>
    <n v="4872.5884565217375"/>
  </r>
  <r>
    <s v="ORD1646"/>
    <x v="301"/>
    <x v="7"/>
    <x v="0"/>
    <x v="3"/>
    <n v="552.75"/>
    <n v="552.75"/>
    <n v="10"/>
    <n v="0"/>
    <x v="1"/>
    <n v="5527.5"/>
    <n v="5527.5"/>
  </r>
  <r>
    <s v="ORD1647"/>
    <x v="113"/>
    <x v="6"/>
    <x v="2"/>
    <x v="3"/>
    <n v="346.2"/>
    <n v="346.2"/>
    <n v="1"/>
    <n v="0"/>
    <x v="0"/>
    <n v="346.2"/>
    <n v="346.2"/>
  </r>
  <r>
    <s v="ORD1648"/>
    <x v="68"/>
    <x v="5"/>
    <x v="0"/>
    <x v="1"/>
    <n v="1144.58"/>
    <n v="1144.58"/>
    <n v="1"/>
    <n v="0"/>
    <x v="1"/>
    <n v="1144.58"/>
    <n v="1144.58"/>
  </r>
  <r>
    <s v="ORD1649"/>
    <x v="263"/>
    <x v="1"/>
    <x v="1"/>
    <x v="4"/>
    <n v="2050.63"/>
    <n v="2050.63"/>
    <n v="2"/>
    <n v="0"/>
    <x v="1"/>
    <n v="4101.26"/>
    <n v="4101.26"/>
  </r>
  <r>
    <s v="ORD1650"/>
    <x v="277"/>
    <x v="7"/>
    <x v="0"/>
    <x v="0"/>
    <n v="1643.75"/>
    <n v="1643.75"/>
    <n v="2"/>
    <n v="0"/>
    <x v="3"/>
    <n v="3287.5"/>
    <n v="3287.5"/>
  </r>
  <r>
    <s v="ORD1651"/>
    <x v="302"/>
    <x v="2"/>
    <x v="0"/>
    <x v="2"/>
    <n v="1470.38"/>
    <n v="1470.38"/>
    <n v="2"/>
    <n v="0"/>
    <x v="1"/>
    <n v="2940.76"/>
    <n v="2940.76"/>
  </r>
  <r>
    <s v="ORD1652"/>
    <x v="18"/>
    <x v="2"/>
    <x v="0"/>
    <x v="3"/>
    <n v="1135.47"/>
    <n v="1135.47"/>
    <n v="1"/>
    <n v="0"/>
    <x v="5"/>
    <n v="1135.47"/>
    <n v="1135.47"/>
  </r>
  <r>
    <s v="ORD1653"/>
    <x v="246"/>
    <x v="5"/>
    <x v="0"/>
    <x v="3"/>
    <n v="934.43"/>
    <n v="934.43"/>
    <n v="1"/>
    <n v="0"/>
    <x v="1"/>
    <n v="934.43"/>
    <n v="934.43"/>
  </r>
  <r>
    <s v="ORD1654"/>
    <x v="303"/>
    <x v="6"/>
    <x v="2"/>
    <x v="1"/>
    <n v="530.14"/>
    <n v="530.14"/>
    <n v="1"/>
    <n v="0.15"/>
    <x v="0"/>
    <n v="530.14"/>
    <n v="450.61899999999997"/>
  </r>
  <r>
    <s v="ORD1655"/>
    <x v="43"/>
    <x v="8"/>
    <x v="3"/>
    <x v="3"/>
    <n v="607.11"/>
    <n v="607.11"/>
    <n v="1"/>
    <n v="0"/>
    <x v="0"/>
    <n v="607.11"/>
    <n v="607.11"/>
  </r>
  <r>
    <s v="ORD1656"/>
    <x v="170"/>
    <x v="8"/>
    <x v="3"/>
    <x v="1"/>
    <n v="601.66999999999996"/>
    <n v="601.66999999999996"/>
    <n v="1"/>
    <n v="0"/>
    <x v="1"/>
    <n v="601.66999999999996"/>
    <n v="601.66999999999996"/>
  </r>
  <r>
    <s v="ORD1657"/>
    <x v="275"/>
    <x v="2"/>
    <x v="0"/>
    <x v="0"/>
    <n v="1194.21"/>
    <n v="1194.21"/>
    <n v="1"/>
    <n v="0"/>
    <x v="1"/>
    <n v="1194.21"/>
    <n v="1194.21"/>
  </r>
  <r>
    <s v="ORD1658"/>
    <x v="158"/>
    <x v="5"/>
    <x v="0"/>
    <x v="1"/>
    <n v="1247.54"/>
    <n v="1247.54"/>
    <n v="10"/>
    <n v="0"/>
    <x v="1"/>
    <n v="12475.4"/>
    <n v="12475.4"/>
  </r>
  <r>
    <s v="ORD1659"/>
    <x v="284"/>
    <x v="0"/>
    <x v="0"/>
    <x v="2"/>
    <n v="1165.3499999999999"/>
    <n v="1165.3499999999999"/>
    <n v="3"/>
    <n v="0"/>
    <x v="3"/>
    <n v="3496.0499999999997"/>
    <n v="3496.0499999999997"/>
  </r>
  <r>
    <s v="ORD1660"/>
    <x v="143"/>
    <x v="6"/>
    <x v="2"/>
    <x v="3"/>
    <m/>
    <n v="362.89299999999997"/>
    <n v="1"/>
    <n v="0"/>
    <x v="0"/>
    <n v="362.89299999999997"/>
    <n v="362.89299999999997"/>
  </r>
  <r>
    <s v="ORD1661"/>
    <x v="17"/>
    <x v="0"/>
    <x v="0"/>
    <x v="3"/>
    <n v="1068.75"/>
    <n v="1068.75"/>
    <n v="5"/>
    <n v="0.15"/>
    <x v="1"/>
    <n v="5343.75"/>
    <n v="4542.1875"/>
  </r>
  <r>
    <s v="ORD1662"/>
    <x v="274"/>
    <x v="2"/>
    <x v="0"/>
    <x v="0"/>
    <n v="1192.1400000000001"/>
    <n v="1192.1400000000001"/>
    <n v="5"/>
    <n v="0"/>
    <x v="1"/>
    <n v="5960.7000000000007"/>
    <n v="5960.7000000000007"/>
  </r>
  <r>
    <s v="ORD1663"/>
    <x v="238"/>
    <x v="1"/>
    <x v="1"/>
    <x v="1"/>
    <n v="1604.37"/>
    <n v="1604.37"/>
    <n v="2"/>
    <n v="0.2"/>
    <x v="2"/>
    <n v="3208.74"/>
    <n v="2566.9920000000002"/>
  </r>
  <r>
    <s v="ORD1664"/>
    <x v="144"/>
    <x v="5"/>
    <x v="0"/>
    <x v="0"/>
    <n v="1028.92"/>
    <n v="1028.92"/>
    <n v="3"/>
    <n v="0.1"/>
    <x v="2"/>
    <n v="3086.76"/>
    <n v="2778.0840000000003"/>
  </r>
  <r>
    <s v="ORD1665"/>
    <x v="6"/>
    <x v="5"/>
    <x v="0"/>
    <x v="2"/>
    <n v="1225.54"/>
    <n v="1225.54"/>
    <n v="3"/>
    <n v="0.1"/>
    <x v="0"/>
    <n v="3676.62"/>
    <n v="3308.9580000000001"/>
  </r>
  <r>
    <s v="ORD1666"/>
    <x v="227"/>
    <x v="1"/>
    <x v="1"/>
    <x v="0"/>
    <n v="1708.21"/>
    <n v="1708.21"/>
    <n v="2"/>
    <n v="0"/>
    <x v="0"/>
    <n v="3416.42"/>
    <n v="3416.42"/>
  </r>
  <r>
    <s v="ORD1667"/>
    <x v="240"/>
    <x v="2"/>
    <x v="0"/>
    <x v="3"/>
    <n v="1560.96"/>
    <n v="1560.96"/>
    <n v="3"/>
    <n v="0.15"/>
    <x v="0"/>
    <n v="4682.88"/>
    <n v="3980.4479999999999"/>
  </r>
  <r>
    <s v="ORD1668"/>
    <x v="34"/>
    <x v="1"/>
    <x v="1"/>
    <x v="0"/>
    <n v="845.65"/>
    <n v="845.65"/>
    <n v="2"/>
    <n v="0"/>
    <x v="2"/>
    <n v="1691.3"/>
    <n v="1691.3"/>
  </r>
  <r>
    <s v="ORD1669"/>
    <x v="15"/>
    <x v="5"/>
    <x v="0"/>
    <x v="3"/>
    <n v="1461.96"/>
    <n v="1461.96"/>
    <n v="2"/>
    <n v="0.15"/>
    <x v="1"/>
    <n v="2923.92"/>
    <n v="2485.3319999999999"/>
  </r>
  <r>
    <s v="ORD1670"/>
    <x v="284"/>
    <x v="6"/>
    <x v="2"/>
    <x v="3"/>
    <n v="437.23"/>
    <n v="437.23"/>
    <n v="1"/>
    <n v="0"/>
    <x v="1"/>
    <n v="437.23"/>
    <n v="437.23"/>
  </r>
  <r>
    <s v="ORD1671"/>
    <x v="117"/>
    <x v="5"/>
    <x v="0"/>
    <x v="1"/>
    <n v="702.39"/>
    <n v="702.39"/>
    <n v="3"/>
    <n v="0.15"/>
    <x v="5"/>
    <n v="2107.17"/>
    <n v="1791.0944999999999"/>
  </r>
  <r>
    <s v="ORD1672"/>
    <x v="89"/>
    <x v="4"/>
    <x v="2"/>
    <x v="1"/>
    <n v="326.01"/>
    <n v="326.01"/>
    <n v="1"/>
    <n v="0.15"/>
    <x v="0"/>
    <n v="326.01"/>
    <n v="277.10849999999999"/>
  </r>
  <r>
    <s v="ORD1673"/>
    <x v="304"/>
    <x v="5"/>
    <x v="0"/>
    <x v="3"/>
    <n v="1110.8499999999999"/>
    <n v="1110.8499999999999"/>
    <n v="2"/>
    <n v="0"/>
    <x v="1"/>
    <n v="2221.6999999999998"/>
    <n v="2221.6999999999998"/>
  </r>
  <r>
    <s v="ORD1674"/>
    <x v="15"/>
    <x v="2"/>
    <x v="0"/>
    <x v="0"/>
    <n v="862.2"/>
    <n v="862.2"/>
    <n v="2"/>
    <n v="0.15"/>
    <x v="0"/>
    <n v="1724.4"/>
    <n v="1465.74"/>
  </r>
  <r>
    <s v="ORD1675"/>
    <x v="305"/>
    <x v="2"/>
    <x v="0"/>
    <x v="0"/>
    <n v="1013.32"/>
    <n v="1013.32"/>
    <n v="1"/>
    <n v="0"/>
    <x v="0"/>
    <n v="1013.32"/>
    <n v="1013.32"/>
  </r>
  <r>
    <s v="ORD1676"/>
    <x v="5"/>
    <x v="5"/>
    <x v="0"/>
    <x v="1"/>
    <n v="933.46"/>
    <n v="933.46"/>
    <n v="1"/>
    <n v="0"/>
    <x v="5"/>
    <n v="933.46"/>
    <n v="933.46"/>
  </r>
  <r>
    <s v="ORD1677"/>
    <x v="239"/>
    <x v="2"/>
    <x v="0"/>
    <x v="1"/>
    <n v="1620.54"/>
    <n v="1620.54"/>
    <n v="1"/>
    <n v="0"/>
    <x v="2"/>
    <n v="1620.54"/>
    <n v="1620.54"/>
  </r>
  <r>
    <s v="ORD1678"/>
    <x v="51"/>
    <x v="5"/>
    <x v="0"/>
    <x v="4"/>
    <n v="1424.56"/>
    <n v="1424.56"/>
    <n v="3"/>
    <n v="0.2"/>
    <x v="1"/>
    <n v="4273.68"/>
    <n v="3418.9440000000004"/>
  </r>
  <r>
    <s v="ORD1679"/>
    <x v="244"/>
    <x v="0"/>
    <x v="0"/>
    <x v="0"/>
    <n v="1505.17"/>
    <n v="1505.17"/>
    <n v="2"/>
    <n v="0"/>
    <x v="3"/>
    <n v="3010.34"/>
    <n v="3010.34"/>
  </r>
  <r>
    <s v="ORD1680"/>
    <x v="264"/>
    <x v="1"/>
    <x v="1"/>
    <x v="1"/>
    <n v="2059.8000000000002"/>
    <n v="2059.8000000000002"/>
    <n v="10"/>
    <n v="0.2"/>
    <x v="1"/>
    <n v="20598"/>
    <n v="16478.400000000001"/>
  </r>
  <r>
    <s v="ORD1681"/>
    <x v="3"/>
    <x v="1"/>
    <x v="1"/>
    <x v="1"/>
    <n v="1393.54"/>
    <n v="1393.54"/>
    <n v="3"/>
    <n v="0"/>
    <x v="3"/>
    <n v="4180.62"/>
    <n v="4180.62"/>
  </r>
  <r>
    <s v="ORD1682"/>
    <x v="14"/>
    <x v="3"/>
    <x v="2"/>
    <x v="3"/>
    <n v="313.27999999999997"/>
    <n v="313.27999999999997"/>
    <n v="2"/>
    <n v="0"/>
    <x v="3"/>
    <n v="626.55999999999995"/>
    <n v="626.55999999999995"/>
  </r>
  <r>
    <s v="ORD1683"/>
    <x v="112"/>
    <x v="4"/>
    <x v="2"/>
    <x v="0"/>
    <n v="384.26"/>
    <n v="384.26"/>
    <n v="5"/>
    <n v="0.15"/>
    <x v="5"/>
    <n v="1921.3"/>
    <n v="1633.105"/>
  </r>
  <r>
    <s v="ORD1684"/>
    <x v="267"/>
    <x v="1"/>
    <x v="1"/>
    <x v="0"/>
    <n v="1360.03"/>
    <n v="1360.03"/>
    <n v="2"/>
    <n v="0.2"/>
    <x v="4"/>
    <n v="2720.06"/>
    <n v="2176.0480000000002"/>
  </r>
  <r>
    <s v="ORD1685"/>
    <x v="191"/>
    <x v="8"/>
    <x v="3"/>
    <x v="2"/>
    <n v="685.56"/>
    <n v="685.56"/>
    <n v="3"/>
    <n v="0.2"/>
    <x v="4"/>
    <n v="2056.6799999999998"/>
    <n v="1645.3440000000001"/>
  </r>
  <r>
    <s v="ORD1686"/>
    <x v="227"/>
    <x v="1"/>
    <x v="1"/>
    <x v="3"/>
    <n v="1713.48"/>
    <n v="1713.48"/>
    <n v="1"/>
    <n v="0.2"/>
    <x v="4"/>
    <n v="1713.48"/>
    <n v="1370.7840000000001"/>
  </r>
  <r>
    <s v="ORD1687"/>
    <x v="193"/>
    <x v="5"/>
    <x v="0"/>
    <x v="4"/>
    <n v="1110.04"/>
    <n v="1110.04"/>
    <n v="3"/>
    <n v="0.1"/>
    <x v="5"/>
    <n v="3330.12"/>
    <n v="2997.1080000000002"/>
  </r>
  <r>
    <s v="ORD1688"/>
    <x v="245"/>
    <x v="6"/>
    <x v="2"/>
    <x v="1"/>
    <n v="399.77"/>
    <n v="399.77"/>
    <n v="1"/>
    <n v="0"/>
    <x v="0"/>
    <n v="399.77"/>
    <n v="399.77"/>
  </r>
  <r>
    <s v="ORD1689"/>
    <x v="67"/>
    <x v="5"/>
    <x v="0"/>
    <x v="0"/>
    <n v="1306.6199999999999"/>
    <n v="1306.6199999999999"/>
    <n v="1"/>
    <n v="0.1"/>
    <x v="1"/>
    <n v="1306.6199999999999"/>
    <n v="1175.9579999999999"/>
  </r>
  <r>
    <s v="ORD1690"/>
    <x v="269"/>
    <x v="4"/>
    <x v="2"/>
    <x v="2"/>
    <n v="324.73"/>
    <n v="324.73"/>
    <n v="5"/>
    <n v="0.1"/>
    <x v="1"/>
    <n v="1623.65"/>
    <n v="1461.2850000000001"/>
  </r>
  <r>
    <s v="ORD1691"/>
    <x v="298"/>
    <x v="6"/>
    <x v="2"/>
    <x v="0"/>
    <n v="431.15"/>
    <n v="431.15"/>
    <n v="1"/>
    <n v="0.1"/>
    <x v="0"/>
    <n v="431.15"/>
    <n v="388.03499999999997"/>
  </r>
  <r>
    <s v="ORD1692"/>
    <x v="51"/>
    <x v="1"/>
    <x v="1"/>
    <x v="2"/>
    <n v="1410.82"/>
    <n v="1410.82"/>
    <n v="1"/>
    <n v="0"/>
    <x v="5"/>
    <n v="1410.82"/>
    <n v="1410.82"/>
  </r>
  <r>
    <s v="ORD1693"/>
    <x v="306"/>
    <x v="6"/>
    <x v="2"/>
    <x v="3"/>
    <n v="393.12"/>
    <n v="393.12"/>
    <n v="1"/>
    <n v="0"/>
    <x v="3"/>
    <n v="393.12"/>
    <n v="393.12"/>
  </r>
  <r>
    <s v="ORD1694"/>
    <x v="58"/>
    <x v="8"/>
    <x v="3"/>
    <x v="2"/>
    <n v="671.17"/>
    <n v="671.17"/>
    <n v="1"/>
    <n v="0.15"/>
    <x v="4"/>
    <n v="671.17"/>
    <n v="570.4944999999999"/>
  </r>
  <r>
    <s v="ORD1695"/>
    <x v="265"/>
    <x v="6"/>
    <x v="2"/>
    <x v="0"/>
    <m/>
    <n v="362.89299999999997"/>
    <n v="10"/>
    <n v="0.2"/>
    <x v="5"/>
    <n v="3628.93"/>
    <n v="2903.1440000000002"/>
  </r>
  <r>
    <s v="ORD1696"/>
    <x v="44"/>
    <x v="3"/>
    <x v="2"/>
    <x v="1"/>
    <n v="372.83"/>
    <n v="372.83"/>
    <n v="5"/>
    <n v="0"/>
    <x v="5"/>
    <n v="1864.1499999999999"/>
    <n v="1864.1499999999999"/>
  </r>
  <r>
    <s v="ORD1697"/>
    <x v="279"/>
    <x v="2"/>
    <x v="0"/>
    <x v="3"/>
    <n v="899.73"/>
    <n v="899.73"/>
    <n v="2"/>
    <n v="0.1"/>
    <x v="2"/>
    <n v="1799.46"/>
    <n v="1619.5140000000001"/>
  </r>
  <r>
    <s v="ORD1698"/>
    <x v="27"/>
    <x v="4"/>
    <x v="2"/>
    <x v="1"/>
    <n v="414.68"/>
    <n v="414.68"/>
    <n v="2"/>
    <n v="0.2"/>
    <x v="0"/>
    <n v="829.36"/>
    <n v="663.48800000000006"/>
  </r>
  <r>
    <s v="ORD1699"/>
    <x v="307"/>
    <x v="6"/>
    <x v="2"/>
    <x v="1"/>
    <n v="337.06"/>
    <n v="337.06"/>
    <n v="1"/>
    <n v="0.1"/>
    <x v="2"/>
    <n v="337.06"/>
    <n v="303.35399999999998"/>
  </r>
  <r>
    <s v="ORD1700"/>
    <x v="21"/>
    <x v="5"/>
    <x v="0"/>
    <x v="2"/>
    <n v="1074.55"/>
    <n v="1074.55"/>
    <n v="1"/>
    <n v="0"/>
    <x v="5"/>
    <n v="1074.55"/>
    <n v="1074.55"/>
  </r>
  <r>
    <s v="ORD1701"/>
    <x v="308"/>
    <x v="3"/>
    <x v="2"/>
    <x v="0"/>
    <n v="423.43"/>
    <n v="423.43"/>
    <n v="10"/>
    <n v="0"/>
    <x v="4"/>
    <n v="4234.3"/>
    <n v="4234.3"/>
  </r>
  <r>
    <s v="ORD1702"/>
    <x v="236"/>
    <x v="2"/>
    <x v="0"/>
    <x v="1"/>
    <n v="1030.96"/>
    <n v="1030.96"/>
    <n v="2"/>
    <n v="0"/>
    <x v="1"/>
    <n v="2061.92"/>
    <n v="2061.92"/>
  </r>
  <r>
    <s v="ORD1703"/>
    <x v="235"/>
    <x v="5"/>
    <x v="0"/>
    <x v="0"/>
    <n v="861.97"/>
    <n v="861.97"/>
    <n v="5"/>
    <n v="0.1"/>
    <x v="1"/>
    <n v="4309.8500000000004"/>
    <n v="3878.8650000000002"/>
  </r>
  <r>
    <s v="ORD1704"/>
    <x v="31"/>
    <x v="8"/>
    <x v="3"/>
    <x v="1"/>
    <n v="413.2"/>
    <n v="413.2"/>
    <n v="1"/>
    <n v="0.2"/>
    <x v="2"/>
    <n v="413.2"/>
    <n v="330.56"/>
  </r>
  <r>
    <s v="ORD1705"/>
    <x v="59"/>
    <x v="3"/>
    <x v="2"/>
    <x v="1"/>
    <n v="392.42"/>
    <n v="392.42"/>
    <n v="5"/>
    <n v="0"/>
    <x v="3"/>
    <n v="1962.1000000000001"/>
    <n v="1962.1000000000001"/>
  </r>
  <r>
    <s v="ORD1706"/>
    <x v="309"/>
    <x v="3"/>
    <x v="2"/>
    <x v="0"/>
    <n v="260.37"/>
    <n v="260.37"/>
    <n v="10"/>
    <n v="0.1"/>
    <x v="0"/>
    <n v="2603.6999999999998"/>
    <n v="2343.33"/>
  </r>
  <r>
    <s v="ORD1707"/>
    <x v="268"/>
    <x v="1"/>
    <x v="1"/>
    <x v="3"/>
    <n v="2431.73"/>
    <n v="2431.73"/>
    <n v="1"/>
    <n v="0"/>
    <x v="4"/>
    <n v="2431.73"/>
    <n v="2431.73"/>
  </r>
  <r>
    <s v="ORD1708"/>
    <x v="6"/>
    <x v="2"/>
    <x v="0"/>
    <x v="1"/>
    <n v="700.34"/>
    <n v="700.34"/>
    <n v="5"/>
    <n v="0.15"/>
    <x v="0"/>
    <n v="3501.7000000000003"/>
    <n v="2976.4450000000002"/>
  </r>
  <r>
    <s v="ORD1709"/>
    <x v="205"/>
    <x v="7"/>
    <x v="0"/>
    <x v="4"/>
    <n v="1607.15"/>
    <n v="1607.15"/>
    <n v="5"/>
    <n v="0.15"/>
    <x v="1"/>
    <n v="8035.75"/>
    <n v="6830.3874999999998"/>
  </r>
  <r>
    <s v="ORD1710"/>
    <x v="76"/>
    <x v="0"/>
    <x v="0"/>
    <x v="1"/>
    <n v="1250.6400000000001"/>
    <n v="1250.6400000000001"/>
    <n v="2"/>
    <n v="0"/>
    <x v="1"/>
    <n v="2501.2800000000002"/>
    <n v="2501.2800000000002"/>
  </r>
  <r>
    <s v="ORD1711"/>
    <x v="255"/>
    <x v="8"/>
    <x v="3"/>
    <x v="3"/>
    <n v="588.39"/>
    <n v="588.39"/>
    <n v="1"/>
    <n v="0"/>
    <x v="1"/>
    <n v="588.39"/>
    <n v="588.39"/>
  </r>
  <r>
    <s v="ORD1712"/>
    <x v="165"/>
    <x v="1"/>
    <x v="1"/>
    <x v="1"/>
    <n v="1603.83"/>
    <n v="1603.83"/>
    <n v="2"/>
    <n v="0"/>
    <x v="5"/>
    <n v="3207.66"/>
    <n v="3207.66"/>
  </r>
  <r>
    <s v="ORD1713"/>
    <x v="218"/>
    <x v="3"/>
    <x v="2"/>
    <x v="0"/>
    <n v="377.94"/>
    <n v="377.94"/>
    <n v="5"/>
    <n v="0"/>
    <x v="3"/>
    <n v="1889.7"/>
    <n v="1889.7"/>
  </r>
  <r>
    <s v="ORD1714"/>
    <x v="107"/>
    <x v="5"/>
    <x v="0"/>
    <x v="0"/>
    <n v="1190.97"/>
    <n v="1190.97"/>
    <n v="3"/>
    <n v="0.2"/>
    <x v="4"/>
    <n v="3572.91"/>
    <n v="2858.328"/>
  </r>
  <r>
    <s v="ORD1715"/>
    <x v="173"/>
    <x v="2"/>
    <x v="0"/>
    <x v="2"/>
    <n v="1464.79"/>
    <n v="1464.79"/>
    <n v="5"/>
    <n v="0.15"/>
    <x v="1"/>
    <n v="7323.95"/>
    <n v="6225.3575000000001"/>
  </r>
  <r>
    <s v="ORD1716"/>
    <x v="310"/>
    <x v="5"/>
    <x v="0"/>
    <x v="3"/>
    <n v="1227.4100000000001"/>
    <n v="1227.4100000000001"/>
    <n v="10"/>
    <n v="0"/>
    <x v="2"/>
    <n v="12274.1"/>
    <n v="12274.1"/>
  </r>
  <r>
    <s v="ORD1717"/>
    <x v="28"/>
    <x v="5"/>
    <x v="0"/>
    <x v="2"/>
    <n v="1236.07"/>
    <n v="1236.07"/>
    <n v="5"/>
    <n v="0"/>
    <x v="3"/>
    <n v="6180.3499999999995"/>
    <n v="6180.3499999999995"/>
  </r>
  <r>
    <s v="ORD1718"/>
    <x v="49"/>
    <x v="0"/>
    <x v="0"/>
    <x v="0"/>
    <n v="1112.73"/>
    <n v="1112.73"/>
    <n v="1"/>
    <n v="0"/>
    <x v="4"/>
    <n v="1112.73"/>
    <n v="1112.73"/>
  </r>
  <r>
    <s v="ORD1719"/>
    <x v="66"/>
    <x v="5"/>
    <x v="0"/>
    <x v="3"/>
    <n v="1186.33"/>
    <n v="1186.33"/>
    <n v="3"/>
    <n v="0.1"/>
    <x v="0"/>
    <n v="3558.99"/>
    <n v="3203.0909999999999"/>
  </r>
  <r>
    <s v="ORD1720"/>
    <x v="37"/>
    <x v="3"/>
    <x v="2"/>
    <x v="1"/>
    <n v="371.55"/>
    <n v="371.55"/>
    <n v="10"/>
    <n v="0"/>
    <x v="3"/>
    <n v="3715.5"/>
    <n v="3715.5"/>
  </r>
  <r>
    <s v="ORD1721"/>
    <x v="152"/>
    <x v="6"/>
    <x v="2"/>
    <x v="2"/>
    <n v="230.29"/>
    <n v="230.29"/>
    <n v="5"/>
    <n v="0"/>
    <x v="1"/>
    <n v="1151.45"/>
    <n v="1151.45"/>
  </r>
  <r>
    <s v="ORD1722"/>
    <x v="32"/>
    <x v="8"/>
    <x v="3"/>
    <x v="3"/>
    <n v="438.22"/>
    <n v="438.22"/>
    <n v="2"/>
    <n v="0"/>
    <x v="1"/>
    <n v="876.44"/>
    <n v="876.44"/>
  </r>
  <r>
    <s v="ORD1723"/>
    <x v="160"/>
    <x v="8"/>
    <x v="3"/>
    <x v="3"/>
    <n v="689.19"/>
    <n v="689.19"/>
    <n v="1"/>
    <n v="0"/>
    <x v="0"/>
    <n v="689.19"/>
    <n v="689.19"/>
  </r>
  <r>
    <s v="ORD1724"/>
    <x v="110"/>
    <x v="6"/>
    <x v="2"/>
    <x v="3"/>
    <m/>
    <n v="362.89299999999997"/>
    <n v="1"/>
    <n v="0"/>
    <x v="3"/>
    <n v="362.89299999999997"/>
    <n v="362.89299999999997"/>
  </r>
  <r>
    <s v="ORD1725"/>
    <x v="72"/>
    <x v="6"/>
    <x v="2"/>
    <x v="1"/>
    <n v="337.12"/>
    <n v="337.12"/>
    <n v="3"/>
    <n v="0"/>
    <x v="1"/>
    <n v="1011.36"/>
    <n v="1011.36"/>
  </r>
  <r>
    <s v="ORD1726"/>
    <x v="241"/>
    <x v="0"/>
    <x v="0"/>
    <x v="1"/>
    <n v="1204.42"/>
    <n v="1204.42"/>
    <n v="2"/>
    <n v="0.1"/>
    <x v="0"/>
    <n v="2408.84"/>
    <n v="2167.9560000000001"/>
  </r>
  <r>
    <s v="ORD1727"/>
    <x v="61"/>
    <x v="8"/>
    <x v="3"/>
    <x v="3"/>
    <m/>
    <n v="591.75880952380953"/>
    <n v="10"/>
    <n v="0.15"/>
    <x v="1"/>
    <n v="5917.5880952380958"/>
    <n v="5029.9498809523811"/>
  </r>
  <r>
    <s v="ORD1728"/>
    <x v="228"/>
    <x v="5"/>
    <x v="0"/>
    <x v="0"/>
    <n v="1070.46"/>
    <n v="1070.46"/>
    <n v="1"/>
    <n v="0"/>
    <x v="0"/>
    <n v="1070.46"/>
    <n v="1070.46"/>
  </r>
  <r>
    <s v="ORD1729"/>
    <x v="311"/>
    <x v="4"/>
    <x v="2"/>
    <x v="0"/>
    <n v="295.52"/>
    <n v="295.52"/>
    <n v="1"/>
    <n v="0.15"/>
    <x v="5"/>
    <n v="295.52"/>
    <n v="251.19199999999998"/>
  </r>
  <r>
    <s v="ORD1730"/>
    <x v="195"/>
    <x v="1"/>
    <x v="1"/>
    <x v="1"/>
    <n v="1870.5"/>
    <n v="1870.5"/>
    <n v="1"/>
    <n v="0"/>
    <x v="5"/>
    <n v="1870.5"/>
    <n v="1870.5"/>
  </r>
  <r>
    <s v="ORD1731"/>
    <x v="115"/>
    <x v="3"/>
    <x v="2"/>
    <x v="0"/>
    <n v="281.51"/>
    <n v="281.51"/>
    <n v="2"/>
    <n v="0"/>
    <x v="1"/>
    <n v="563.02"/>
    <n v="563.02"/>
  </r>
  <r>
    <s v="ORD1732"/>
    <x v="299"/>
    <x v="5"/>
    <x v="0"/>
    <x v="2"/>
    <n v="1297.98"/>
    <n v="1297.98"/>
    <n v="5"/>
    <n v="0.2"/>
    <x v="4"/>
    <n v="6489.9"/>
    <n v="5191.92"/>
  </r>
  <r>
    <s v="ORD1733"/>
    <x v="204"/>
    <x v="0"/>
    <x v="0"/>
    <x v="0"/>
    <n v="791.38"/>
    <n v="791.38"/>
    <n v="3"/>
    <n v="0.1"/>
    <x v="1"/>
    <n v="2374.14"/>
    <n v="2136.7260000000001"/>
  </r>
  <r>
    <s v="ORD1734"/>
    <x v="97"/>
    <x v="1"/>
    <x v="1"/>
    <x v="3"/>
    <n v="2170.5"/>
    <n v="2170.5"/>
    <n v="3"/>
    <n v="0"/>
    <x v="3"/>
    <n v="6511.5"/>
    <n v="6511.5"/>
  </r>
  <r>
    <s v="ORD1735"/>
    <x v="14"/>
    <x v="5"/>
    <x v="0"/>
    <x v="3"/>
    <n v="1313.42"/>
    <n v="1313.42"/>
    <n v="1"/>
    <n v="0"/>
    <x v="5"/>
    <n v="1313.42"/>
    <n v="1313.42"/>
  </r>
  <r>
    <s v="ORD1736"/>
    <x v="99"/>
    <x v="3"/>
    <x v="2"/>
    <x v="0"/>
    <n v="367.92"/>
    <n v="367.92"/>
    <n v="2"/>
    <n v="0"/>
    <x v="0"/>
    <n v="735.84"/>
    <n v="735.84"/>
  </r>
  <r>
    <s v="ORD1737"/>
    <x v="268"/>
    <x v="0"/>
    <x v="0"/>
    <x v="1"/>
    <n v="1435.85"/>
    <n v="1435.85"/>
    <n v="5"/>
    <n v="0.15"/>
    <x v="5"/>
    <n v="7179.25"/>
    <n v="6102.3625000000002"/>
  </r>
  <r>
    <s v="ORD1738"/>
    <x v="218"/>
    <x v="5"/>
    <x v="0"/>
    <x v="3"/>
    <n v="1599.71"/>
    <n v="1599.71"/>
    <n v="1"/>
    <n v="0.1"/>
    <x v="3"/>
    <n v="1599.71"/>
    <n v="1439.739"/>
  </r>
  <r>
    <s v="ORD1739"/>
    <x v="100"/>
    <x v="0"/>
    <x v="0"/>
    <x v="1"/>
    <n v="1443.45"/>
    <n v="1443.45"/>
    <n v="1"/>
    <n v="0"/>
    <x v="0"/>
    <n v="1443.45"/>
    <n v="1443.45"/>
  </r>
  <r>
    <s v="ORD1740"/>
    <x v="212"/>
    <x v="0"/>
    <x v="0"/>
    <x v="3"/>
    <n v="758.19"/>
    <n v="758.19"/>
    <n v="2"/>
    <n v="0.1"/>
    <x v="1"/>
    <n v="1516.38"/>
    <n v="1364.7420000000002"/>
  </r>
  <r>
    <s v="ORD1741"/>
    <x v="63"/>
    <x v="5"/>
    <x v="0"/>
    <x v="3"/>
    <n v="892.9"/>
    <n v="892.9"/>
    <n v="2"/>
    <n v="0"/>
    <x v="1"/>
    <n v="1785.8"/>
    <n v="1785.8"/>
  </r>
  <r>
    <s v="ORD1742"/>
    <x v="310"/>
    <x v="6"/>
    <x v="2"/>
    <x v="1"/>
    <n v="306.26"/>
    <n v="306.26"/>
    <n v="5"/>
    <n v="0.15"/>
    <x v="4"/>
    <n v="1531.3"/>
    <n v="1301.605"/>
  </r>
  <r>
    <s v="ORD1743"/>
    <x v="312"/>
    <x v="2"/>
    <x v="0"/>
    <x v="0"/>
    <n v="1206.26"/>
    <n v="1206.26"/>
    <n v="3"/>
    <n v="0.15"/>
    <x v="0"/>
    <n v="3618.7799999999997"/>
    <n v="3075.9629999999997"/>
  </r>
  <r>
    <s v="ORD1744"/>
    <x v="42"/>
    <x v="6"/>
    <x v="2"/>
    <x v="1"/>
    <n v="386.24"/>
    <n v="386.24"/>
    <n v="10"/>
    <n v="0"/>
    <x v="1"/>
    <n v="3862.4"/>
    <n v="3862.4"/>
  </r>
  <r>
    <s v="ORD1745"/>
    <x v="106"/>
    <x v="6"/>
    <x v="2"/>
    <x v="1"/>
    <n v="299.2"/>
    <n v="299.2"/>
    <n v="2"/>
    <n v="0"/>
    <x v="0"/>
    <n v="598.4"/>
    <n v="598.4"/>
  </r>
  <r>
    <s v="ORD1746"/>
    <x v="108"/>
    <x v="1"/>
    <x v="1"/>
    <x v="1"/>
    <n v="1867.24"/>
    <n v="1867.24"/>
    <n v="2"/>
    <n v="0"/>
    <x v="1"/>
    <n v="3734.48"/>
    <n v="3734.48"/>
  </r>
  <r>
    <s v="ORD1747"/>
    <x v="233"/>
    <x v="0"/>
    <x v="0"/>
    <x v="3"/>
    <n v="1018.71"/>
    <n v="1018.71"/>
    <n v="1"/>
    <n v="0.2"/>
    <x v="5"/>
    <n v="1018.71"/>
    <n v="814.96800000000007"/>
  </r>
  <r>
    <s v="ORD1748"/>
    <x v="278"/>
    <x v="0"/>
    <x v="0"/>
    <x v="2"/>
    <n v="1053.24"/>
    <n v="1053.24"/>
    <n v="2"/>
    <n v="0.1"/>
    <x v="1"/>
    <n v="2106.48"/>
    <n v="1895.8320000000001"/>
  </r>
  <r>
    <s v="ORD1749"/>
    <x v="148"/>
    <x v="3"/>
    <x v="2"/>
    <x v="1"/>
    <n v="251.53"/>
    <n v="251.53"/>
    <n v="2"/>
    <n v="0"/>
    <x v="0"/>
    <n v="503.06"/>
    <n v="503.06"/>
  </r>
  <r>
    <s v="ORD1750"/>
    <x v="213"/>
    <x v="0"/>
    <x v="0"/>
    <x v="0"/>
    <n v="978.42"/>
    <n v="978.42"/>
    <n v="10"/>
    <n v="0.2"/>
    <x v="1"/>
    <n v="9784.1999999999989"/>
    <n v="7827.36"/>
  </r>
  <r>
    <s v="ORD1751"/>
    <x v="236"/>
    <x v="7"/>
    <x v="0"/>
    <x v="3"/>
    <n v="875.6"/>
    <n v="875.6"/>
    <n v="1"/>
    <n v="0"/>
    <x v="4"/>
    <n v="875.6"/>
    <n v="875.6"/>
  </r>
  <r>
    <s v="ORD1752"/>
    <x v="107"/>
    <x v="3"/>
    <x v="2"/>
    <x v="1"/>
    <n v="281.69"/>
    <n v="281.69"/>
    <n v="1"/>
    <n v="0.2"/>
    <x v="1"/>
    <n v="281.69"/>
    <n v="225.352"/>
  </r>
  <r>
    <s v="ORD1753"/>
    <x v="246"/>
    <x v="0"/>
    <x v="0"/>
    <x v="0"/>
    <n v="1452.87"/>
    <n v="1452.87"/>
    <n v="3"/>
    <n v="0"/>
    <x v="0"/>
    <n v="4358.6099999999997"/>
    <n v="4358.6099999999997"/>
  </r>
  <r>
    <s v="ORD1754"/>
    <x v="36"/>
    <x v="3"/>
    <x v="2"/>
    <x v="3"/>
    <n v="283.54000000000002"/>
    <n v="283.54000000000002"/>
    <n v="3"/>
    <n v="0"/>
    <x v="0"/>
    <n v="850.62000000000012"/>
    <n v="850.62000000000012"/>
  </r>
  <r>
    <s v="ORD1755"/>
    <x v="216"/>
    <x v="3"/>
    <x v="2"/>
    <x v="3"/>
    <n v="534.27"/>
    <n v="534.27"/>
    <n v="10"/>
    <n v="0"/>
    <x v="4"/>
    <n v="5342.7"/>
    <n v="5342.7"/>
  </r>
  <r>
    <s v="ORD1756"/>
    <x v="313"/>
    <x v="3"/>
    <x v="2"/>
    <x v="1"/>
    <n v="384.53"/>
    <n v="384.53"/>
    <n v="1"/>
    <n v="0.2"/>
    <x v="1"/>
    <n v="384.53"/>
    <n v="307.62400000000002"/>
  </r>
  <r>
    <s v="ORD1757"/>
    <x v="259"/>
    <x v="7"/>
    <x v="0"/>
    <x v="3"/>
    <n v="1244.3599999999999"/>
    <n v="1244.3599999999999"/>
    <n v="1"/>
    <n v="0"/>
    <x v="3"/>
    <n v="1244.3599999999999"/>
    <n v="1244.3599999999999"/>
  </r>
  <r>
    <s v="ORD1758"/>
    <x v="314"/>
    <x v="1"/>
    <x v="1"/>
    <x v="3"/>
    <n v="1490.99"/>
    <n v="1490.99"/>
    <n v="10"/>
    <n v="0"/>
    <x v="1"/>
    <n v="14909.9"/>
    <n v="14909.9"/>
  </r>
  <r>
    <s v="ORD1759"/>
    <x v="132"/>
    <x v="5"/>
    <x v="0"/>
    <x v="1"/>
    <n v="1368.07"/>
    <n v="1368.07"/>
    <n v="1"/>
    <n v="0.1"/>
    <x v="1"/>
    <n v="1368.07"/>
    <n v="1231.2629999999999"/>
  </r>
  <r>
    <s v="ORD1760"/>
    <x v="50"/>
    <x v="0"/>
    <x v="0"/>
    <x v="1"/>
    <n v="1061.8499999999999"/>
    <n v="1061.8499999999999"/>
    <n v="1"/>
    <n v="0"/>
    <x v="1"/>
    <n v="1061.8499999999999"/>
    <n v="1061.8499999999999"/>
  </r>
  <r>
    <s v="ORD1761"/>
    <x v="73"/>
    <x v="6"/>
    <x v="2"/>
    <x v="1"/>
    <n v="358.54"/>
    <n v="358.54"/>
    <n v="1"/>
    <n v="0.1"/>
    <x v="4"/>
    <n v="358.54"/>
    <n v="322.68600000000004"/>
  </r>
  <r>
    <s v="ORD1762"/>
    <x v="315"/>
    <x v="1"/>
    <x v="1"/>
    <x v="0"/>
    <n v="2721.63"/>
    <n v="2721.63"/>
    <n v="5"/>
    <n v="0.1"/>
    <x v="1"/>
    <n v="13608.150000000001"/>
    <n v="12247.335000000001"/>
  </r>
  <r>
    <s v="ORD1763"/>
    <x v="316"/>
    <x v="3"/>
    <x v="2"/>
    <x v="2"/>
    <n v="343.28"/>
    <n v="343.28"/>
    <n v="1"/>
    <n v="0.15"/>
    <x v="0"/>
    <n v="343.28"/>
    <n v="291.78799999999995"/>
  </r>
  <r>
    <s v="ORD1764"/>
    <x v="317"/>
    <x v="4"/>
    <x v="2"/>
    <x v="3"/>
    <n v="430.45"/>
    <n v="430.45"/>
    <n v="3"/>
    <n v="0.15"/>
    <x v="0"/>
    <n v="1291.3499999999999"/>
    <n v="1097.6474999999998"/>
  </r>
  <r>
    <s v="ORD1765"/>
    <x v="316"/>
    <x v="2"/>
    <x v="0"/>
    <x v="1"/>
    <n v="1031.24"/>
    <n v="1031.24"/>
    <n v="2"/>
    <n v="0"/>
    <x v="1"/>
    <n v="2062.48"/>
    <n v="2062.48"/>
  </r>
  <r>
    <s v="ORD1766"/>
    <x v="1"/>
    <x v="6"/>
    <x v="2"/>
    <x v="1"/>
    <n v="347.55"/>
    <n v="347.55"/>
    <n v="5"/>
    <n v="0.15"/>
    <x v="0"/>
    <n v="1737.75"/>
    <n v="1477.0874999999999"/>
  </r>
  <r>
    <s v="ORD1767"/>
    <x v="9"/>
    <x v="1"/>
    <x v="1"/>
    <x v="0"/>
    <n v="2437.4899999999998"/>
    <n v="2437.4899999999998"/>
    <n v="2"/>
    <n v="0"/>
    <x v="1"/>
    <n v="4874.9799999999996"/>
    <n v="4874.9799999999996"/>
  </r>
  <r>
    <s v="ORD1768"/>
    <x v="203"/>
    <x v="4"/>
    <x v="2"/>
    <x v="0"/>
    <n v="306.11"/>
    <n v="306.11"/>
    <n v="3"/>
    <n v="0.1"/>
    <x v="3"/>
    <n v="918.33"/>
    <n v="826.49700000000007"/>
  </r>
  <r>
    <s v="ORD1769"/>
    <x v="169"/>
    <x v="6"/>
    <x v="2"/>
    <x v="2"/>
    <n v="476.87"/>
    <n v="476.87"/>
    <n v="2"/>
    <n v="0"/>
    <x v="1"/>
    <n v="953.74"/>
    <n v="953.74"/>
  </r>
  <r>
    <s v="ORD1770"/>
    <x v="96"/>
    <x v="2"/>
    <x v="0"/>
    <x v="1"/>
    <n v="1369.86"/>
    <n v="1369.86"/>
    <n v="1"/>
    <n v="0"/>
    <x v="5"/>
    <n v="1369.86"/>
    <n v="1369.86"/>
  </r>
  <r>
    <s v="ORD1771"/>
    <x v="73"/>
    <x v="0"/>
    <x v="0"/>
    <x v="0"/>
    <n v="1065.01"/>
    <n v="1065.01"/>
    <n v="1"/>
    <n v="0"/>
    <x v="5"/>
    <n v="1065.01"/>
    <n v="1065.01"/>
  </r>
  <r>
    <s v="ORD1772"/>
    <x v="318"/>
    <x v="3"/>
    <x v="2"/>
    <x v="1"/>
    <n v="394.27"/>
    <n v="394.27"/>
    <n v="1"/>
    <n v="0.15"/>
    <x v="5"/>
    <n v="394.27"/>
    <n v="335.12949999999995"/>
  </r>
  <r>
    <s v="ORD1773"/>
    <x v="319"/>
    <x v="0"/>
    <x v="0"/>
    <x v="0"/>
    <n v="1433.41"/>
    <n v="1433.41"/>
    <n v="1"/>
    <n v="0"/>
    <x v="4"/>
    <n v="1433.41"/>
    <n v="1433.41"/>
  </r>
  <r>
    <s v="ORD1774"/>
    <x v="94"/>
    <x v="3"/>
    <x v="2"/>
    <x v="2"/>
    <n v="393.53"/>
    <n v="393.53"/>
    <n v="1"/>
    <n v="0.15"/>
    <x v="0"/>
    <n v="393.53"/>
    <n v="334.50049999999999"/>
  </r>
  <r>
    <s v="ORD1775"/>
    <x v="21"/>
    <x v="3"/>
    <x v="2"/>
    <x v="1"/>
    <n v="240.08"/>
    <n v="240.08"/>
    <n v="2"/>
    <n v="0.2"/>
    <x v="5"/>
    <n v="480.16"/>
    <n v="384.12800000000004"/>
  </r>
  <r>
    <s v="ORD1776"/>
    <x v="176"/>
    <x v="6"/>
    <x v="2"/>
    <x v="2"/>
    <n v="299.10000000000002"/>
    <n v="299.10000000000002"/>
    <n v="1"/>
    <n v="0.2"/>
    <x v="2"/>
    <n v="299.10000000000002"/>
    <n v="239.28000000000003"/>
  </r>
  <r>
    <s v="ORD1777"/>
    <x v="247"/>
    <x v="6"/>
    <x v="2"/>
    <x v="0"/>
    <n v="332.67"/>
    <n v="332.67"/>
    <n v="1"/>
    <n v="0.1"/>
    <x v="4"/>
    <n v="332.67"/>
    <n v="299.40300000000002"/>
  </r>
  <r>
    <s v="ORD1778"/>
    <x v="8"/>
    <x v="7"/>
    <x v="0"/>
    <x v="1"/>
    <n v="1182.1400000000001"/>
    <n v="1182.1400000000001"/>
    <n v="1"/>
    <n v="0"/>
    <x v="4"/>
    <n v="1182.1400000000001"/>
    <n v="1182.1400000000001"/>
  </r>
  <r>
    <s v="ORD1779"/>
    <x v="177"/>
    <x v="5"/>
    <x v="0"/>
    <x v="0"/>
    <n v="1348.96"/>
    <n v="1348.96"/>
    <n v="2"/>
    <n v="0.15"/>
    <x v="0"/>
    <n v="2697.92"/>
    <n v="2293.232"/>
  </r>
  <r>
    <s v="ORD1780"/>
    <x v="103"/>
    <x v="5"/>
    <x v="0"/>
    <x v="3"/>
    <n v="1242.6500000000001"/>
    <n v="1242.6500000000001"/>
    <n v="2"/>
    <n v="0"/>
    <x v="1"/>
    <n v="2485.3000000000002"/>
    <n v="2485.3000000000002"/>
  </r>
  <r>
    <s v="ORD1781"/>
    <x v="320"/>
    <x v="6"/>
    <x v="2"/>
    <x v="1"/>
    <n v="256.52999999999997"/>
    <n v="256.52999999999997"/>
    <n v="10"/>
    <n v="0"/>
    <x v="1"/>
    <n v="2565.2999999999997"/>
    <n v="2565.2999999999997"/>
  </r>
  <r>
    <s v="ORD1782"/>
    <x v="168"/>
    <x v="6"/>
    <x v="2"/>
    <x v="1"/>
    <n v="376.61"/>
    <n v="376.61"/>
    <n v="1"/>
    <n v="0.2"/>
    <x v="4"/>
    <n v="376.61"/>
    <n v="301.28800000000001"/>
  </r>
  <r>
    <s v="ORD1783"/>
    <x v="296"/>
    <x v="8"/>
    <x v="3"/>
    <x v="0"/>
    <n v="673.27"/>
    <n v="673.27"/>
    <n v="10"/>
    <n v="0"/>
    <x v="4"/>
    <n v="6732.7"/>
    <n v="6732.7"/>
  </r>
  <r>
    <s v="ORD1784"/>
    <x v="43"/>
    <x v="5"/>
    <x v="0"/>
    <x v="0"/>
    <n v="1334.35"/>
    <n v="1334.35"/>
    <n v="1"/>
    <n v="0"/>
    <x v="0"/>
    <n v="1334.35"/>
    <n v="1334.35"/>
  </r>
  <r>
    <s v="ORD1785"/>
    <x v="31"/>
    <x v="3"/>
    <x v="2"/>
    <x v="3"/>
    <n v="425.65"/>
    <n v="425.65"/>
    <n v="10"/>
    <n v="0"/>
    <x v="4"/>
    <n v="4256.5"/>
    <n v="4256.5"/>
  </r>
  <r>
    <s v="ORD1786"/>
    <x v="320"/>
    <x v="5"/>
    <x v="0"/>
    <x v="1"/>
    <n v="1400.14"/>
    <n v="1400.14"/>
    <n v="2"/>
    <n v="0"/>
    <x v="1"/>
    <n v="2800.28"/>
    <n v="2800.28"/>
  </r>
  <r>
    <s v="ORD1787"/>
    <x v="161"/>
    <x v="3"/>
    <x v="2"/>
    <x v="1"/>
    <n v="382.14"/>
    <n v="382.14"/>
    <n v="1"/>
    <n v="0"/>
    <x v="5"/>
    <n v="382.14"/>
    <n v="382.14"/>
  </r>
  <r>
    <s v="ORD1788"/>
    <x v="312"/>
    <x v="5"/>
    <x v="0"/>
    <x v="1"/>
    <n v="1183.1600000000001"/>
    <n v="1183.1600000000001"/>
    <n v="1"/>
    <n v="0"/>
    <x v="1"/>
    <n v="1183.1600000000001"/>
    <n v="1183.1600000000001"/>
  </r>
  <r>
    <s v="ORD1789"/>
    <x v="202"/>
    <x v="8"/>
    <x v="3"/>
    <x v="2"/>
    <n v="400.68"/>
    <n v="400.68"/>
    <n v="2"/>
    <n v="0.2"/>
    <x v="4"/>
    <n v="801.36"/>
    <n v="641.08800000000008"/>
  </r>
  <r>
    <s v="ORD1790"/>
    <x v="189"/>
    <x v="6"/>
    <x v="2"/>
    <x v="3"/>
    <n v="380.07"/>
    <n v="380.07"/>
    <n v="1"/>
    <n v="0"/>
    <x v="1"/>
    <n v="380.07"/>
    <n v="380.07"/>
  </r>
  <r>
    <s v="ORD1791"/>
    <x v="141"/>
    <x v="3"/>
    <x v="2"/>
    <x v="2"/>
    <m/>
    <n v="351.86434782608688"/>
    <n v="5"/>
    <n v="0.2"/>
    <x v="1"/>
    <n v="1759.3217391304345"/>
    <n v="1407.4573913043478"/>
  </r>
  <r>
    <s v="ORD1792"/>
    <x v="33"/>
    <x v="5"/>
    <x v="0"/>
    <x v="2"/>
    <n v="1265.18"/>
    <n v="1265.18"/>
    <n v="1"/>
    <n v="0"/>
    <x v="3"/>
    <n v="1265.18"/>
    <n v="1265.18"/>
  </r>
  <r>
    <s v="ORD1793"/>
    <x v="226"/>
    <x v="4"/>
    <x v="2"/>
    <x v="4"/>
    <n v="260.63"/>
    <n v="260.63"/>
    <n v="1"/>
    <n v="0"/>
    <x v="1"/>
    <n v="260.63"/>
    <n v="260.63"/>
  </r>
  <r>
    <s v="ORD1794"/>
    <x v="321"/>
    <x v="8"/>
    <x v="3"/>
    <x v="0"/>
    <n v="470.27"/>
    <n v="470.27"/>
    <n v="10"/>
    <n v="0"/>
    <x v="1"/>
    <n v="4702.7"/>
    <n v="4702.7"/>
  </r>
  <r>
    <s v="ORD1795"/>
    <x v="237"/>
    <x v="5"/>
    <x v="0"/>
    <x v="3"/>
    <n v="1452.76"/>
    <n v="1452.76"/>
    <n v="1"/>
    <n v="0.2"/>
    <x v="3"/>
    <n v="1452.76"/>
    <n v="1162.2080000000001"/>
  </r>
  <r>
    <s v="ORD1796"/>
    <x v="28"/>
    <x v="3"/>
    <x v="2"/>
    <x v="2"/>
    <n v="347.23"/>
    <n v="347.23"/>
    <n v="5"/>
    <n v="0.1"/>
    <x v="5"/>
    <n v="1736.15"/>
    <n v="1562.5350000000001"/>
  </r>
  <r>
    <s v="ORD1797"/>
    <x v="146"/>
    <x v="2"/>
    <x v="0"/>
    <x v="3"/>
    <n v="1363.56"/>
    <n v="1363.56"/>
    <n v="3"/>
    <n v="0"/>
    <x v="2"/>
    <n v="4090.68"/>
    <n v="4090.68"/>
  </r>
  <r>
    <s v="ORD1798"/>
    <x v="38"/>
    <x v="5"/>
    <x v="0"/>
    <x v="1"/>
    <n v="1206.8"/>
    <n v="1206.8"/>
    <n v="2"/>
    <n v="0.2"/>
    <x v="1"/>
    <n v="2413.6"/>
    <n v="1930.88"/>
  </r>
  <r>
    <s v="ORD1799"/>
    <x v="14"/>
    <x v="7"/>
    <x v="0"/>
    <x v="0"/>
    <n v="1207.1400000000001"/>
    <n v="1207.1400000000001"/>
    <n v="1"/>
    <n v="0.1"/>
    <x v="0"/>
    <n v="1207.1400000000001"/>
    <n v="1086.426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BFA75-980E-F845-90FE-B1CA1156CF87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9:G30" firstHeaderRow="1" firstDataRow="2" firstDataCol="1"/>
  <pivotFields count="13">
    <pivotField showAll="0"/>
    <pivotField numFmtId="14" showAll="0"/>
    <pivotField axis="axisRow" showAll="0">
      <items count="10">
        <item x="1"/>
        <item x="8"/>
        <item x="3"/>
        <item x="7"/>
        <item x="4"/>
        <item x="5"/>
        <item x="6"/>
        <item x="0"/>
        <item x="2"/>
        <item t="default"/>
      </items>
    </pivotField>
    <pivotField showAll="0"/>
    <pivotField axis="axisCol" showAll="0">
      <items count="8">
        <item x="3"/>
        <item x="0"/>
        <item x="1"/>
        <item m="1" x="6"/>
        <item x="2"/>
        <item m="1" x="5"/>
        <item x="4"/>
        <item t="default"/>
      </items>
    </pivotField>
    <pivotField showAll="0"/>
    <pivotField dataField="1" numFmtId="2" showAll="0"/>
    <pivotField showAll="0"/>
    <pivotField showAll="0"/>
    <pivotField showAll="0"/>
    <pivotField showAll="0"/>
    <pivotField showAll="0"/>
    <pivotField showAll="0" defaultSubtota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6">
    <i>
      <x/>
    </i>
    <i>
      <x v="1"/>
    </i>
    <i>
      <x v="2"/>
    </i>
    <i>
      <x v="4"/>
    </i>
    <i>
      <x v="6"/>
    </i>
    <i t="grand">
      <x/>
    </i>
  </colItems>
  <dataFields count="1">
    <dataField name="Average of unit_price fixed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31FDF-CC3D-7940-AE3F-48FCF56C132C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5:B45" firstHeaderRow="1" firstDataRow="1" firstDataCol="1"/>
  <pivotFields count="13">
    <pivotField showAll="0"/>
    <pivotField numFmtId="14" showAll="0"/>
    <pivotField axis="axisRow" showAll="0">
      <items count="10">
        <item x="1"/>
        <item x="8"/>
        <item x="3"/>
        <item x="7"/>
        <item x="4"/>
        <item x="5"/>
        <item x="6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numFmtId="2" showAll="0"/>
    <pivotField showAll="0"/>
    <pivotField showAll="0"/>
    <pivotField dataField="1" showAll="0">
      <items count="7">
        <item x="5"/>
        <item x="4"/>
        <item x="3"/>
        <item x="0"/>
        <item x="1"/>
        <item x="2"/>
        <item t="default"/>
      </items>
    </pivotField>
    <pivotField showAll="0"/>
    <pivotField showAll="0"/>
    <pivotField showAll="0" defaultSubtota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customer_rating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F15" firstHeaderRow="1" firstDataRow="2" firstDataCol="1"/>
  <pivotFields count="13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numFmtId="2"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2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_after_disc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6"/>
  <sheetViews>
    <sheetView topLeftCell="A48" workbookViewId="0">
      <selection activeCell="L15" sqref="L1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s="1">
        <v>45726</v>
      </c>
      <c r="C2" t="s">
        <v>10</v>
      </c>
      <c r="D2" t="s">
        <v>11</v>
      </c>
      <c r="E2" t="s">
        <v>12</v>
      </c>
      <c r="F2">
        <v>1077.5999999999999</v>
      </c>
      <c r="G2">
        <v>1</v>
      </c>
      <c r="H2">
        <v>0</v>
      </c>
    </row>
    <row r="3" spans="1:9" x14ac:dyDescent="0.2">
      <c r="A3" t="s">
        <v>13</v>
      </c>
      <c r="B3" s="1">
        <v>45666</v>
      </c>
      <c r="C3" t="s">
        <v>14</v>
      </c>
      <c r="D3" t="s">
        <v>15</v>
      </c>
      <c r="E3" t="s">
        <v>12</v>
      </c>
      <c r="F3">
        <v>444.77</v>
      </c>
      <c r="G3">
        <v>3</v>
      </c>
      <c r="H3">
        <v>0</v>
      </c>
      <c r="I3">
        <v>2</v>
      </c>
    </row>
    <row r="4" spans="1:9" x14ac:dyDescent="0.2">
      <c r="A4" t="s">
        <v>16</v>
      </c>
      <c r="B4" s="1">
        <v>45692</v>
      </c>
      <c r="C4" t="s">
        <v>17</v>
      </c>
      <c r="D4" t="s">
        <v>11</v>
      </c>
      <c r="E4" t="s">
        <v>18</v>
      </c>
      <c r="F4">
        <v>1390</v>
      </c>
      <c r="G4">
        <v>1</v>
      </c>
      <c r="H4">
        <v>0.1</v>
      </c>
      <c r="I4">
        <v>5</v>
      </c>
    </row>
    <row r="5" spans="1:9" x14ac:dyDescent="0.2">
      <c r="A5" t="s">
        <v>19</v>
      </c>
      <c r="B5" s="1">
        <v>45959</v>
      </c>
      <c r="C5" t="s">
        <v>20</v>
      </c>
      <c r="D5" t="s">
        <v>21</v>
      </c>
      <c r="E5" t="s">
        <v>22</v>
      </c>
      <c r="F5">
        <v>1825.13</v>
      </c>
      <c r="G5">
        <v>5</v>
      </c>
      <c r="H5">
        <v>0.15</v>
      </c>
      <c r="I5">
        <v>2</v>
      </c>
    </row>
    <row r="6" spans="1:9" x14ac:dyDescent="0.2">
      <c r="A6" t="s">
        <v>23</v>
      </c>
      <c r="B6" s="1">
        <v>45824</v>
      </c>
      <c r="C6" t="s">
        <v>24</v>
      </c>
      <c r="D6" t="s">
        <v>15</v>
      </c>
      <c r="E6" t="s">
        <v>18</v>
      </c>
      <c r="F6">
        <v>332.32</v>
      </c>
      <c r="G6">
        <v>1</v>
      </c>
      <c r="H6">
        <v>0</v>
      </c>
      <c r="I6">
        <v>3</v>
      </c>
    </row>
    <row r="7" spans="1:9" x14ac:dyDescent="0.2">
      <c r="A7" t="s">
        <v>25</v>
      </c>
      <c r="B7" s="1">
        <v>45670</v>
      </c>
      <c r="C7" t="s">
        <v>26</v>
      </c>
      <c r="D7" t="s">
        <v>27</v>
      </c>
      <c r="E7" t="s">
        <v>22</v>
      </c>
      <c r="F7">
        <v>478.55</v>
      </c>
      <c r="G7">
        <v>2</v>
      </c>
      <c r="H7">
        <v>0.15</v>
      </c>
      <c r="I7">
        <v>5</v>
      </c>
    </row>
    <row r="8" spans="1:9" x14ac:dyDescent="0.2">
      <c r="A8" t="s">
        <v>28</v>
      </c>
      <c r="B8" s="1">
        <v>45690</v>
      </c>
      <c r="C8" t="s">
        <v>29</v>
      </c>
      <c r="D8" t="s">
        <v>15</v>
      </c>
      <c r="E8" t="s">
        <v>30</v>
      </c>
      <c r="F8">
        <v>215.69</v>
      </c>
      <c r="G8">
        <v>5</v>
      </c>
      <c r="H8">
        <v>0.1</v>
      </c>
      <c r="I8">
        <v>5</v>
      </c>
    </row>
    <row r="9" spans="1:9" x14ac:dyDescent="0.2">
      <c r="A9" t="s">
        <v>31</v>
      </c>
      <c r="B9" s="1">
        <v>45890</v>
      </c>
      <c r="C9" t="s">
        <v>32</v>
      </c>
      <c r="D9" t="s">
        <v>21</v>
      </c>
      <c r="E9" t="s">
        <v>22</v>
      </c>
      <c r="F9">
        <v>1542.49</v>
      </c>
      <c r="G9">
        <v>3</v>
      </c>
      <c r="H9">
        <v>0.2</v>
      </c>
    </row>
    <row r="10" spans="1:9" x14ac:dyDescent="0.2">
      <c r="A10" t="s">
        <v>33</v>
      </c>
      <c r="B10" s="1">
        <v>45816</v>
      </c>
      <c r="C10" t="s">
        <v>34</v>
      </c>
      <c r="D10" t="s">
        <v>11</v>
      </c>
      <c r="E10" t="s">
        <v>18</v>
      </c>
      <c r="F10" t="s">
        <v>35</v>
      </c>
      <c r="G10">
        <v>1</v>
      </c>
      <c r="H10">
        <v>0</v>
      </c>
      <c r="I10">
        <v>5</v>
      </c>
    </row>
    <row r="11" spans="1:9" x14ac:dyDescent="0.2">
      <c r="A11" t="s">
        <v>36</v>
      </c>
      <c r="B11" s="1">
        <v>45736</v>
      </c>
      <c r="C11" t="s">
        <v>37</v>
      </c>
      <c r="D11" t="s">
        <v>11</v>
      </c>
      <c r="E11" t="s">
        <v>18</v>
      </c>
      <c r="F11">
        <v>992.64</v>
      </c>
      <c r="G11">
        <v>5</v>
      </c>
      <c r="H11">
        <v>0.2</v>
      </c>
      <c r="I11">
        <v>3</v>
      </c>
    </row>
    <row r="12" spans="1:9" x14ac:dyDescent="0.2">
      <c r="A12" t="s">
        <v>38</v>
      </c>
      <c r="B12" s="1">
        <v>46011</v>
      </c>
      <c r="C12" t="s">
        <v>10</v>
      </c>
      <c r="D12" t="s">
        <v>11</v>
      </c>
      <c r="E12" t="s">
        <v>39</v>
      </c>
      <c r="F12">
        <v>1397.41</v>
      </c>
      <c r="G12">
        <v>2</v>
      </c>
      <c r="H12">
        <v>0.2</v>
      </c>
      <c r="I12">
        <v>4</v>
      </c>
    </row>
    <row r="13" spans="1:9" x14ac:dyDescent="0.2">
      <c r="A13" t="s">
        <v>40</v>
      </c>
      <c r="B13" s="1">
        <v>46007</v>
      </c>
      <c r="C13" t="s">
        <v>41</v>
      </c>
      <c r="D13" t="s">
        <v>11</v>
      </c>
      <c r="E13" t="s">
        <v>12</v>
      </c>
      <c r="F13">
        <v>1599.71</v>
      </c>
      <c r="G13">
        <v>1</v>
      </c>
      <c r="H13">
        <v>0.1</v>
      </c>
      <c r="I13">
        <v>3</v>
      </c>
    </row>
    <row r="14" spans="1:9" x14ac:dyDescent="0.2">
      <c r="A14" t="s">
        <v>42</v>
      </c>
      <c r="B14" s="1">
        <v>45713</v>
      </c>
      <c r="C14" t="s">
        <v>43</v>
      </c>
      <c r="D14" t="s">
        <v>15</v>
      </c>
      <c r="E14" t="s">
        <v>39</v>
      </c>
      <c r="F14">
        <v>386.24</v>
      </c>
      <c r="G14">
        <v>10</v>
      </c>
      <c r="H14">
        <v>0</v>
      </c>
      <c r="I14">
        <v>5</v>
      </c>
    </row>
    <row r="15" spans="1:9" x14ac:dyDescent="0.2">
      <c r="A15" t="s">
        <v>44</v>
      </c>
      <c r="B15" s="1">
        <v>45842</v>
      </c>
      <c r="C15" t="s">
        <v>43</v>
      </c>
      <c r="D15" t="s">
        <v>15</v>
      </c>
      <c r="E15" t="s">
        <v>30</v>
      </c>
      <c r="F15">
        <v>386.54</v>
      </c>
      <c r="G15">
        <v>1</v>
      </c>
      <c r="H15">
        <v>0</v>
      </c>
      <c r="I15">
        <v>1</v>
      </c>
    </row>
    <row r="16" spans="1:9" x14ac:dyDescent="0.2">
      <c r="A16" t="s">
        <v>45</v>
      </c>
      <c r="B16" s="1">
        <v>45979</v>
      </c>
      <c r="C16" t="s">
        <v>29</v>
      </c>
      <c r="D16" t="s">
        <v>15</v>
      </c>
      <c r="E16" t="s">
        <v>30</v>
      </c>
      <c r="G16">
        <v>1</v>
      </c>
      <c r="H16">
        <v>0.1</v>
      </c>
      <c r="I16">
        <v>5</v>
      </c>
    </row>
    <row r="17" spans="1:9" x14ac:dyDescent="0.2">
      <c r="A17" t="s">
        <v>46</v>
      </c>
      <c r="B17" s="1">
        <v>45908</v>
      </c>
      <c r="C17" t="s">
        <v>29</v>
      </c>
      <c r="D17" t="s">
        <v>15</v>
      </c>
      <c r="E17" t="s">
        <v>47</v>
      </c>
      <c r="F17">
        <v>347.71</v>
      </c>
      <c r="G17">
        <v>1</v>
      </c>
      <c r="H17">
        <v>0.15</v>
      </c>
      <c r="I17">
        <v>5</v>
      </c>
    </row>
    <row r="18" spans="1:9" x14ac:dyDescent="0.2">
      <c r="A18" t="s">
        <v>48</v>
      </c>
      <c r="B18" s="1">
        <v>45820</v>
      </c>
      <c r="C18" t="s">
        <v>29</v>
      </c>
      <c r="D18" t="s">
        <v>15</v>
      </c>
      <c r="E18" t="s">
        <v>22</v>
      </c>
      <c r="F18">
        <v>353.4</v>
      </c>
      <c r="G18">
        <v>3</v>
      </c>
      <c r="H18">
        <v>0</v>
      </c>
      <c r="I18">
        <v>2</v>
      </c>
    </row>
    <row r="19" spans="1:9" x14ac:dyDescent="0.2">
      <c r="A19" t="s">
        <v>49</v>
      </c>
      <c r="B19" s="1">
        <v>45781</v>
      </c>
      <c r="C19" t="s">
        <v>50</v>
      </c>
      <c r="D19" t="s">
        <v>11</v>
      </c>
      <c r="E19" t="s">
        <v>18</v>
      </c>
      <c r="F19">
        <v>1477.95</v>
      </c>
      <c r="G19">
        <v>5</v>
      </c>
      <c r="H19">
        <v>0</v>
      </c>
      <c r="I19">
        <v>2</v>
      </c>
    </row>
    <row r="20" spans="1:9" x14ac:dyDescent="0.2">
      <c r="A20" t="s">
        <v>51</v>
      </c>
      <c r="B20" s="1">
        <v>45691</v>
      </c>
      <c r="C20" t="s">
        <v>37</v>
      </c>
      <c r="D20" t="s">
        <v>11</v>
      </c>
      <c r="E20" t="s">
        <v>12</v>
      </c>
      <c r="F20" t="s">
        <v>52</v>
      </c>
      <c r="G20">
        <v>5</v>
      </c>
      <c r="H20">
        <v>0.1</v>
      </c>
      <c r="I20">
        <v>2</v>
      </c>
    </row>
    <row r="21" spans="1:9" x14ac:dyDescent="0.2">
      <c r="A21" t="s">
        <v>53</v>
      </c>
      <c r="B21" s="1">
        <v>45797</v>
      </c>
      <c r="C21" t="s">
        <v>54</v>
      </c>
      <c r="D21" t="s">
        <v>15</v>
      </c>
      <c r="E21" t="s">
        <v>22</v>
      </c>
      <c r="G21">
        <v>5</v>
      </c>
      <c r="H21">
        <v>0.2</v>
      </c>
      <c r="I21">
        <v>5</v>
      </c>
    </row>
    <row r="22" spans="1:9" x14ac:dyDescent="0.2">
      <c r="A22" t="s">
        <v>55</v>
      </c>
      <c r="B22" s="1">
        <v>45802</v>
      </c>
      <c r="C22" t="s">
        <v>34</v>
      </c>
      <c r="D22" t="s">
        <v>11</v>
      </c>
      <c r="E22" t="s">
        <v>56</v>
      </c>
      <c r="F22">
        <v>1236.0899999999999</v>
      </c>
      <c r="G22">
        <v>10</v>
      </c>
      <c r="H22">
        <v>0.15</v>
      </c>
      <c r="I22">
        <v>5</v>
      </c>
    </row>
    <row r="23" spans="1:9" x14ac:dyDescent="0.2">
      <c r="A23" t="s">
        <v>57</v>
      </c>
      <c r="B23" s="1">
        <v>45874</v>
      </c>
      <c r="C23" t="s">
        <v>10</v>
      </c>
      <c r="D23" t="s">
        <v>11</v>
      </c>
      <c r="E23" t="s">
        <v>22</v>
      </c>
      <c r="F23">
        <v>1357.05</v>
      </c>
      <c r="G23">
        <v>5</v>
      </c>
      <c r="H23">
        <v>0</v>
      </c>
    </row>
    <row r="24" spans="1:9" x14ac:dyDescent="0.2">
      <c r="A24" t="s">
        <v>58</v>
      </c>
      <c r="B24" s="1">
        <v>45794</v>
      </c>
      <c r="C24" t="s">
        <v>14</v>
      </c>
      <c r="D24" t="s">
        <v>15</v>
      </c>
      <c r="E24" t="s">
        <v>56</v>
      </c>
      <c r="F24">
        <v>293.42</v>
      </c>
      <c r="G24">
        <v>10</v>
      </c>
      <c r="H24">
        <v>0</v>
      </c>
      <c r="I24">
        <v>3</v>
      </c>
    </row>
    <row r="25" spans="1:9" x14ac:dyDescent="0.2">
      <c r="A25" t="s">
        <v>59</v>
      </c>
      <c r="B25" s="1">
        <v>45886</v>
      </c>
      <c r="C25" t="s">
        <v>41</v>
      </c>
      <c r="D25" t="s">
        <v>11</v>
      </c>
      <c r="E25" t="s">
        <v>30</v>
      </c>
      <c r="F25">
        <v>996.77</v>
      </c>
      <c r="G25">
        <v>10</v>
      </c>
      <c r="H25">
        <v>0</v>
      </c>
      <c r="I25">
        <v>5</v>
      </c>
    </row>
    <row r="26" spans="1:9" x14ac:dyDescent="0.2">
      <c r="A26" t="s">
        <v>60</v>
      </c>
      <c r="B26" s="1">
        <v>45803</v>
      </c>
      <c r="C26" t="s">
        <v>24</v>
      </c>
      <c r="D26" t="s">
        <v>15</v>
      </c>
      <c r="E26" t="s">
        <v>12</v>
      </c>
      <c r="F26">
        <v>394.29</v>
      </c>
      <c r="G26">
        <v>3</v>
      </c>
      <c r="H26">
        <v>0.15</v>
      </c>
      <c r="I26">
        <v>3</v>
      </c>
    </row>
    <row r="27" spans="1:9" x14ac:dyDescent="0.2">
      <c r="A27" t="s">
        <v>61</v>
      </c>
      <c r="B27" s="1">
        <v>45755</v>
      </c>
      <c r="C27" t="s">
        <v>37</v>
      </c>
      <c r="D27" t="s">
        <v>11</v>
      </c>
      <c r="E27" t="s">
        <v>47</v>
      </c>
      <c r="F27">
        <v>1381.8</v>
      </c>
      <c r="G27">
        <v>1</v>
      </c>
      <c r="H27">
        <v>0</v>
      </c>
      <c r="I27">
        <v>5</v>
      </c>
    </row>
    <row r="28" spans="1:9" x14ac:dyDescent="0.2">
      <c r="A28" t="s">
        <v>62</v>
      </c>
      <c r="B28" s="1">
        <v>45803</v>
      </c>
      <c r="C28" t="s">
        <v>24</v>
      </c>
      <c r="D28" t="s">
        <v>15</v>
      </c>
      <c r="E28" t="s">
        <v>47</v>
      </c>
      <c r="G28">
        <v>1</v>
      </c>
      <c r="H28">
        <v>0</v>
      </c>
      <c r="I28">
        <v>4</v>
      </c>
    </row>
    <row r="29" spans="1:9" x14ac:dyDescent="0.2">
      <c r="A29" t="s">
        <v>63</v>
      </c>
      <c r="B29" s="1">
        <v>45884</v>
      </c>
      <c r="C29" t="s">
        <v>14</v>
      </c>
      <c r="D29" t="s">
        <v>15</v>
      </c>
      <c r="E29" t="s">
        <v>22</v>
      </c>
      <c r="F29">
        <v>322.55</v>
      </c>
      <c r="G29">
        <v>2</v>
      </c>
      <c r="H29">
        <v>0.15</v>
      </c>
      <c r="I29">
        <v>5</v>
      </c>
    </row>
    <row r="30" spans="1:9" x14ac:dyDescent="0.2">
      <c r="A30" t="s">
        <v>64</v>
      </c>
      <c r="B30" s="1">
        <v>45795</v>
      </c>
      <c r="C30" t="s">
        <v>32</v>
      </c>
      <c r="D30" t="s">
        <v>21</v>
      </c>
      <c r="E30" t="s">
        <v>39</v>
      </c>
      <c r="F30">
        <v>1880.6</v>
      </c>
      <c r="G30">
        <v>-1</v>
      </c>
      <c r="H30">
        <v>0</v>
      </c>
      <c r="I30">
        <v>5</v>
      </c>
    </row>
    <row r="31" spans="1:9" x14ac:dyDescent="0.2">
      <c r="A31" t="s">
        <v>65</v>
      </c>
      <c r="B31" s="1">
        <v>45912</v>
      </c>
      <c r="C31" t="s">
        <v>37</v>
      </c>
      <c r="D31" t="s">
        <v>11</v>
      </c>
      <c r="E31" t="s">
        <v>56</v>
      </c>
      <c r="F31">
        <v>855.39</v>
      </c>
      <c r="G31">
        <v>5</v>
      </c>
      <c r="H31">
        <v>0</v>
      </c>
      <c r="I31">
        <v>3</v>
      </c>
    </row>
    <row r="32" spans="1:9" x14ac:dyDescent="0.2">
      <c r="A32" t="s">
        <v>66</v>
      </c>
      <c r="B32" s="1">
        <v>45818</v>
      </c>
      <c r="C32" t="s">
        <v>24</v>
      </c>
      <c r="D32" t="s">
        <v>15</v>
      </c>
      <c r="E32" t="s">
        <v>22</v>
      </c>
      <c r="G32">
        <v>2</v>
      </c>
      <c r="H32">
        <v>0</v>
      </c>
      <c r="I32">
        <v>3</v>
      </c>
    </row>
    <row r="33" spans="1:9" x14ac:dyDescent="0.2">
      <c r="A33" t="s">
        <v>67</v>
      </c>
      <c r="B33" s="1">
        <v>45695</v>
      </c>
      <c r="C33" t="s">
        <v>26</v>
      </c>
      <c r="D33" t="s">
        <v>27</v>
      </c>
      <c r="E33" t="s">
        <v>12</v>
      </c>
      <c r="F33">
        <v>577.72</v>
      </c>
      <c r="G33">
        <v>1</v>
      </c>
      <c r="H33">
        <v>0.1</v>
      </c>
      <c r="I33">
        <v>2</v>
      </c>
    </row>
    <row r="34" spans="1:9" x14ac:dyDescent="0.2">
      <c r="A34" t="s">
        <v>68</v>
      </c>
      <c r="B34" s="1">
        <v>45735</v>
      </c>
      <c r="C34" t="s">
        <v>37</v>
      </c>
      <c r="D34" t="s">
        <v>11</v>
      </c>
      <c r="E34" t="s">
        <v>39</v>
      </c>
      <c r="F34">
        <v>1018.48</v>
      </c>
      <c r="G34">
        <v>1</v>
      </c>
      <c r="H34">
        <v>0</v>
      </c>
    </row>
    <row r="35" spans="1:9" x14ac:dyDescent="0.2">
      <c r="A35" t="s">
        <v>69</v>
      </c>
      <c r="B35" s="1">
        <v>45695</v>
      </c>
      <c r="C35" t="s">
        <v>32</v>
      </c>
      <c r="D35" t="s">
        <v>21</v>
      </c>
      <c r="E35" t="s">
        <v>12</v>
      </c>
      <c r="F35">
        <v>1439.09</v>
      </c>
      <c r="G35">
        <v>10</v>
      </c>
      <c r="H35">
        <v>0</v>
      </c>
      <c r="I35">
        <v>5</v>
      </c>
    </row>
    <row r="36" spans="1:9" x14ac:dyDescent="0.2">
      <c r="A36" t="s">
        <v>70</v>
      </c>
      <c r="B36" s="1">
        <v>45954</v>
      </c>
      <c r="C36" t="s">
        <v>20</v>
      </c>
      <c r="D36" t="s">
        <v>21</v>
      </c>
      <c r="E36" t="s">
        <v>56</v>
      </c>
      <c r="F36">
        <v>2020.2</v>
      </c>
      <c r="G36">
        <v>1</v>
      </c>
      <c r="H36">
        <v>0.2</v>
      </c>
      <c r="I36">
        <v>5</v>
      </c>
    </row>
    <row r="37" spans="1:9" x14ac:dyDescent="0.2">
      <c r="A37" t="s">
        <v>71</v>
      </c>
      <c r="B37" s="1">
        <v>45855</v>
      </c>
      <c r="C37" t="s">
        <v>43</v>
      </c>
      <c r="D37" t="s">
        <v>15</v>
      </c>
      <c r="E37" t="s">
        <v>56</v>
      </c>
      <c r="F37">
        <v>309.62</v>
      </c>
      <c r="G37">
        <v>10</v>
      </c>
      <c r="H37">
        <v>0.15</v>
      </c>
      <c r="I37">
        <v>4</v>
      </c>
    </row>
    <row r="38" spans="1:9" x14ac:dyDescent="0.2">
      <c r="A38" t="s">
        <v>72</v>
      </c>
      <c r="B38" s="1">
        <v>45911</v>
      </c>
      <c r="C38" t="s">
        <v>29</v>
      </c>
      <c r="D38" t="s">
        <v>15</v>
      </c>
      <c r="E38" t="s">
        <v>39</v>
      </c>
      <c r="F38">
        <v>356.95</v>
      </c>
      <c r="G38">
        <v>2</v>
      </c>
      <c r="H38">
        <v>0.1</v>
      </c>
      <c r="I38">
        <v>2</v>
      </c>
    </row>
    <row r="39" spans="1:9" x14ac:dyDescent="0.2">
      <c r="A39" t="s">
        <v>73</v>
      </c>
      <c r="B39" s="1">
        <v>46001</v>
      </c>
      <c r="C39" t="s">
        <v>41</v>
      </c>
      <c r="D39" t="s">
        <v>11</v>
      </c>
      <c r="F39">
        <v>1110.04</v>
      </c>
      <c r="G39">
        <v>3</v>
      </c>
      <c r="H39">
        <v>0.1</v>
      </c>
      <c r="I39">
        <v>1</v>
      </c>
    </row>
    <row r="40" spans="1:9" x14ac:dyDescent="0.2">
      <c r="A40" t="s">
        <v>74</v>
      </c>
      <c r="B40" s="1">
        <v>45874</v>
      </c>
      <c r="C40" t="s">
        <v>50</v>
      </c>
      <c r="D40" t="s">
        <v>11</v>
      </c>
      <c r="E40" t="s">
        <v>22</v>
      </c>
      <c r="F40">
        <v>1082.97</v>
      </c>
      <c r="G40">
        <v>1</v>
      </c>
      <c r="H40">
        <v>0.1</v>
      </c>
    </row>
    <row r="41" spans="1:9" x14ac:dyDescent="0.2">
      <c r="A41" t="s">
        <v>75</v>
      </c>
      <c r="B41" s="1">
        <v>45675</v>
      </c>
      <c r="C41" t="s">
        <v>26</v>
      </c>
      <c r="D41" t="s">
        <v>27</v>
      </c>
      <c r="E41" t="s">
        <v>12</v>
      </c>
      <c r="F41">
        <v>588.39</v>
      </c>
      <c r="G41">
        <v>1</v>
      </c>
      <c r="H41">
        <v>0</v>
      </c>
      <c r="I41">
        <v>5</v>
      </c>
    </row>
    <row r="42" spans="1:9" x14ac:dyDescent="0.2">
      <c r="A42" t="s">
        <v>76</v>
      </c>
      <c r="B42" s="1">
        <v>45887</v>
      </c>
      <c r="C42" t="s">
        <v>10</v>
      </c>
      <c r="D42" t="s">
        <v>11</v>
      </c>
      <c r="E42" t="s">
        <v>39</v>
      </c>
      <c r="F42">
        <v>1331.3</v>
      </c>
      <c r="G42">
        <v>2</v>
      </c>
      <c r="H42">
        <v>0.15</v>
      </c>
      <c r="I42">
        <v>4</v>
      </c>
    </row>
    <row r="43" spans="1:9" x14ac:dyDescent="0.2">
      <c r="A43" t="s">
        <v>77</v>
      </c>
      <c r="B43" s="1">
        <v>45795</v>
      </c>
      <c r="C43" t="s">
        <v>78</v>
      </c>
      <c r="D43" t="s">
        <v>11</v>
      </c>
      <c r="E43" t="s">
        <v>30</v>
      </c>
      <c r="F43">
        <v>1435.85</v>
      </c>
      <c r="G43">
        <v>5</v>
      </c>
      <c r="H43">
        <v>0.15</v>
      </c>
      <c r="I43">
        <v>1</v>
      </c>
    </row>
    <row r="44" spans="1:9" x14ac:dyDescent="0.2">
      <c r="A44" t="s">
        <v>79</v>
      </c>
      <c r="B44" s="1">
        <v>45949</v>
      </c>
      <c r="C44" t="s">
        <v>54</v>
      </c>
      <c r="D44" t="s">
        <v>15</v>
      </c>
      <c r="E44" t="s">
        <v>56</v>
      </c>
      <c r="F44">
        <v>416.53</v>
      </c>
      <c r="G44">
        <v>2</v>
      </c>
      <c r="H44">
        <v>0</v>
      </c>
    </row>
    <row r="45" spans="1:9" x14ac:dyDescent="0.2">
      <c r="A45" t="s">
        <v>80</v>
      </c>
      <c r="B45" s="1">
        <v>45794</v>
      </c>
      <c r="C45" t="s">
        <v>20</v>
      </c>
      <c r="D45" t="s">
        <v>21</v>
      </c>
      <c r="E45" t="s">
        <v>39</v>
      </c>
      <c r="F45">
        <v>1111.22</v>
      </c>
      <c r="G45">
        <v>1</v>
      </c>
      <c r="H45">
        <v>0.15</v>
      </c>
      <c r="I45">
        <v>3</v>
      </c>
    </row>
    <row r="46" spans="1:9" x14ac:dyDescent="0.2">
      <c r="A46" t="s">
        <v>81</v>
      </c>
      <c r="B46" s="1">
        <v>45865</v>
      </c>
      <c r="C46" t="s">
        <v>43</v>
      </c>
      <c r="D46" t="s">
        <v>15</v>
      </c>
      <c r="E46" t="s">
        <v>30</v>
      </c>
      <c r="F46">
        <v>237.48</v>
      </c>
      <c r="G46">
        <v>2</v>
      </c>
      <c r="H46">
        <v>0</v>
      </c>
      <c r="I46">
        <v>5</v>
      </c>
    </row>
    <row r="47" spans="1:9" x14ac:dyDescent="0.2">
      <c r="A47" t="s">
        <v>82</v>
      </c>
      <c r="B47" s="1">
        <v>45848</v>
      </c>
      <c r="C47" t="s">
        <v>54</v>
      </c>
      <c r="D47" t="s">
        <v>15</v>
      </c>
      <c r="E47" t="s">
        <v>56</v>
      </c>
      <c r="F47">
        <v>422.27</v>
      </c>
      <c r="G47">
        <v>1</v>
      </c>
      <c r="H47">
        <v>0.15</v>
      </c>
      <c r="I47">
        <v>1</v>
      </c>
    </row>
    <row r="48" spans="1:9" x14ac:dyDescent="0.2">
      <c r="A48" t="s">
        <v>83</v>
      </c>
      <c r="B48" s="1">
        <v>45807</v>
      </c>
      <c r="C48" t="s">
        <v>54</v>
      </c>
      <c r="D48" t="s">
        <v>15</v>
      </c>
      <c r="E48" t="s">
        <v>18</v>
      </c>
      <c r="F48">
        <v>389.94</v>
      </c>
      <c r="G48">
        <v>10</v>
      </c>
      <c r="H48">
        <v>0.15</v>
      </c>
      <c r="I48">
        <v>4</v>
      </c>
    </row>
    <row r="49" spans="1:9" x14ac:dyDescent="0.2">
      <c r="A49" t="s">
        <v>84</v>
      </c>
      <c r="B49" s="1">
        <v>45836</v>
      </c>
      <c r="C49" t="s">
        <v>32</v>
      </c>
      <c r="D49" t="s">
        <v>21</v>
      </c>
      <c r="E49" t="s">
        <v>39</v>
      </c>
      <c r="F49">
        <v>1418.68</v>
      </c>
      <c r="G49">
        <v>1</v>
      </c>
      <c r="H49">
        <v>0</v>
      </c>
    </row>
    <row r="50" spans="1:9" x14ac:dyDescent="0.2">
      <c r="A50" t="s">
        <v>85</v>
      </c>
      <c r="B50" s="1">
        <v>45706</v>
      </c>
      <c r="C50" t="s">
        <v>37</v>
      </c>
      <c r="D50" t="s">
        <v>11</v>
      </c>
      <c r="E50" t="s">
        <v>18</v>
      </c>
      <c r="F50">
        <v>1415.9</v>
      </c>
      <c r="G50">
        <v>5</v>
      </c>
      <c r="H50">
        <v>0</v>
      </c>
      <c r="I50">
        <v>4</v>
      </c>
    </row>
    <row r="51" spans="1:9" x14ac:dyDescent="0.2">
      <c r="A51" t="s">
        <v>86</v>
      </c>
      <c r="B51" s="1">
        <v>45829</v>
      </c>
      <c r="C51" t="s">
        <v>20</v>
      </c>
      <c r="D51" t="s">
        <v>21</v>
      </c>
      <c r="E51" t="s">
        <v>18</v>
      </c>
      <c r="F51">
        <v>1892.72</v>
      </c>
      <c r="G51">
        <v>3</v>
      </c>
      <c r="H51">
        <v>0.15</v>
      </c>
      <c r="I51">
        <v>2</v>
      </c>
    </row>
    <row r="52" spans="1:9" x14ac:dyDescent="0.2">
      <c r="A52" t="s">
        <v>87</v>
      </c>
      <c r="B52" s="1">
        <v>45882</v>
      </c>
      <c r="C52" t="s">
        <v>26</v>
      </c>
      <c r="D52" t="s">
        <v>27</v>
      </c>
      <c r="E52" t="s">
        <v>18</v>
      </c>
      <c r="F52">
        <v>926.42</v>
      </c>
      <c r="G52">
        <v>10</v>
      </c>
      <c r="H52">
        <v>0</v>
      </c>
      <c r="I52">
        <v>1</v>
      </c>
    </row>
    <row r="53" spans="1:9" x14ac:dyDescent="0.2">
      <c r="A53" t="s">
        <v>88</v>
      </c>
      <c r="B53" s="1">
        <v>45703</v>
      </c>
      <c r="C53" t="s">
        <v>50</v>
      </c>
      <c r="D53" t="s">
        <v>11</v>
      </c>
      <c r="E53" t="s">
        <v>39</v>
      </c>
      <c r="F53">
        <v>1204.42</v>
      </c>
      <c r="G53">
        <v>2</v>
      </c>
      <c r="H53">
        <v>0.1</v>
      </c>
      <c r="I53">
        <v>4</v>
      </c>
    </row>
    <row r="54" spans="1:9" x14ac:dyDescent="0.2">
      <c r="A54" t="s">
        <v>89</v>
      </c>
      <c r="B54" s="1">
        <v>45894</v>
      </c>
      <c r="C54" t="s">
        <v>34</v>
      </c>
      <c r="D54" t="s">
        <v>11</v>
      </c>
      <c r="E54" t="s">
        <v>39</v>
      </c>
      <c r="F54">
        <v>809.39</v>
      </c>
      <c r="G54">
        <v>2</v>
      </c>
      <c r="H54">
        <v>0.1</v>
      </c>
      <c r="I54">
        <v>4</v>
      </c>
    </row>
    <row r="55" spans="1:9" x14ac:dyDescent="0.2">
      <c r="A55" t="s">
        <v>90</v>
      </c>
      <c r="B55" s="1">
        <v>45908</v>
      </c>
      <c r="C55" t="s">
        <v>29</v>
      </c>
      <c r="D55" t="s">
        <v>15</v>
      </c>
      <c r="E55" t="s">
        <v>39</v>
      </c>
      <c r="F55">
        <v>386.01</v>
      </c>
      <c r="G55">
        <v>3</v>
      </c>
      <c r="H55">
        <v>0.1</v>
      </c>
      <c r="I55">
        <v>5</v>
      </c>
    </row>
    <row r="56" spans="1:9" x14ac:dyDescent="0.2">
      <c r="A56" t="s">
        <v>91</v>
      </c>
      <c r="B56" s="1">
        <v>46002</v>
      </c>
      <c r="C56" t="s">
        <v>43</v>
      </c>
      <c r="D56" t="s">
        <v>15</v>
      </c>
      <c r="E56" t="s">
        <v>22</v>
      </c>
      <c r="F56">
        <v>416.86</v>
      </c>
      <c r="G56">
        <v>5</v>
      </c>
      <c r="H56">
        <v>0.15</v>
      </c>
      <c r="I56">
        <v>5</v>
      </c>
    </row>
    <row r="57" spans="1:9" x14ac:dyDescent="0.2">
      <c r="A57" t="s">
        <v>92</v>
      </c>
      <c r="B57" s="1">
        <v>45805</v>
      </c>
      <c r="C57" t="s">
        <v>20</v>
      </c>
      <c r="D57" t="s">
        <v>21</v>
      </c>
      <c r="E57" t="s">
        <v>47</v>
      </c>
      <c r="F57">
        <v>1682.63</v>
      </c>
      <c r="G57">
        <v>1</v>
      </c>
      <c r="H57">
        <v>0.1</v>
      </c>
      <c r="I57">
        <v>5</v>
      </c>
    </row>
    <row r="58" spans="1:9" x14ac:dyDescent="0.2">
      <c r="A58" t="s">
        <v>93</v>
      </c>
      <c r="B58" s="1">
        <v>45900</v>
      </c>
      <c r="C58" t="s">
        <v>32</v>
      </c>
      <c r="D58" t="s">
        <v>21</v>
      </c>
      <c r="E58" t="s">
        <v>12</v>
      </c>
      <c r="F58">
        <v>2170.5</v>
      </c>
      <c r="G58">
        <v>3</v>
      </c>
      <c r="H58">
        <v>0</v>
      </c>
      <c r="I58">
        <v>3</v>
      </c>
    </row>
    <row r="59" spans="1:9" x14ac:dyDescent="0.2">
      <c r="A59" t="s">
        <v>94</v>
      </c>
      <c r="B59" s="1">
        <v>45849</v>
      </c>
      <c r="C59" t="s">
        <v>54</v>
      </c>
      <c r="D59" t="s">
        <v>15</v>
      </c>
      <c r="E59" t="s">
        <v>47</v>
      </c>
      <c r="F59">
        <v>397.74</v>
      </c>
      <c r="G59">
        <v>2</v>
      </c>
      <c r="H59">
        <v>0.1</v>
      </c>
      <c r="I59">
        <v>2</v>
      </c>
    </row>
    <row r="60" spans="1:9" x14ac:dyDescent="0.2">
      <c r="A60" t="s">
        <v>95</v>
      </c>
      <c r="B60" s="1">
        <v>45965</v>
      </c>
      <c r="C60" t="s">
        <v>78</v>
      </c>
      <c r="D60" t="s">
        <v>11</v>
      </c>
      <c r="E60" t="s">
        <v>30</v>
      </c>
      <c r="F60">
        <v>1443.45</v>
      </c>
      <c r="G60">
        <v>1</v>
      </c>
      <c r="H60">
        <v>0</v>
      </c>
      <c r="I60">
        <v>4</v>
      </c>
    </row>
    <row r="61" spans="1:9" x14ac:dyDescent="0.2">
      <c r="A61" t="s">
        <v>96</v>
      </c>
      <c r="B61" s="1">
        <v>45739</v>
      </c>
      <c r="C61" t="s">
        <v>17</v>
      </c>
      <c r="D61" t="s">
        <v>11</v>
      </c>
      <c r="E61" t="s">
        <v>47</v>
      </c>
      <c r="F61">
        <v>1285.68</v>
      </c>
      <c r="G61">
        <v>-1</v>
      </c>
      <c r="H61">
        <v>0</v>
      </c>
      <c r="I61">
        <v>4</v>
      </c>
    </row>
    <row r="62" spans="1:9" x14ac:dyDescent="0.2">
      <c r="A62" t="s">
        <v>97</v>
      </c>
      <c r="B62" s="1">
        <v>45827</v>
      </c>
      <c r="C62" t="s">
        <v>54</v>
      </c>
      <c r="D62" t="s">
        <v>15</v>
      </c>
      <c r="E62" t="s">
        <v>12</v>
      </c>
      <c r="F62">
        <v>283.54000000000002</v>
      </c>
      <c r="G62">
        <v>3</v>
      </c>
      <c r="H62">
        <v>0</v>
      </c>
      <c r="I62">
        <v>4</v>
      </c>
    </row>
    <row r="63" spans="1:9" x14ac:dyDescent="0.2">
      <c r="A63" t="s">
        <v>98</v>
      </c>
      <c r="B63" s="1">
        <v>45799</v>
      </c>
      <c r="C63" t="s">
        <v>26</v>
      </c>
      <c r="D63" t="s">
        <v>27</v>
      </c>
      <c r="E63" t="s">
        <v>56</v>
      </c>
      <c r="F63">
        <v>699.53</v>
      </c>
      <c r="G63">
        <v>1</v>
      </c>
      <c r="H63">
        <v>0.2</v>
      </c>
      <c r="I63">
        <v>3</v>
      </c>
    </row>
    <row r="64" spans="1:9" x14ac:dyDescent="0.2">
      <c r="A64" t="s">
        <v>99</v>
      </c>
      <c r="B64" s="1">
        <v>45953</v>
      </c>
      <c r="C64" t="s">
        <v>10</v>
      </c>
      <c r="D64" t="s">
        <v>11</v>
      </c>
      <c r="E64" t="s">
        <v>39</v>
      </c>
      <c r="F64">
        <v>1206.8</v>
      </c>
      <c r="G64">
        <v>2</v>
      </c>
      <c r="H64">
        <v>0.2</v>
      </c>
      <c r="I64">
        <v>5</v>
      </c>
    </row>
    <row r="65" spans="1:9" x14ac:dyDescent="0.2">
      <c r="A65" t="s">
        <v>100</v>
      </c>
      <c r="B65" s="1">
        <v>45890</v>
      </c>
      <c r="C65" t="s">
        <v>10</v>
      </c>
      <c r="D65" t="s">
        <v>11</v>
      </c>
      <c r="E65" t="s">
        <v>56</v>
      </c>
      <c r="F65">
        <v>703.81</v>
      </c>
      <c r="G65">
        <v>1</v>
      </c>
      <c r="H65">
        <v>0.15</v>
      </c>
      <c r="I65">
        <v>5</v>
      </c>
    </row>
    <row r="66" spans="1:9" x14ac:dyDescent="0.2">
      <c r="A66" t="s">
        <v>101</v>
      </c>
      <c r="B66" s="1">
        <v>45848</v>
      </c>
      <c r="C66" t="s">
        <v>54</v>
      </c>
      <c r="D66" t="s">
        <v>15</v>
      </c>
      <c r="E66" t="s">
        <v>39</v>
      </c>
      <c r="F66">
        <v>259.33999999999997</v>
      </c>
      <c r="G66">
        <v>10</v>
      </c>
      <c r="H66">
        <v>0.2</v>
      </c>
      <c r="I66">
        <v>2</v>
      </c>
    </row>
    <row r="67" spans="1:9" x14ac:dyDescent="0.2">
      <c r="A67" t="s">
        <v>102</v>
      </c>
      <c r="B67" s="1">
        <v>45933</v>
      </c>
      <c r="C67" t="s">
        <v>26</v>
      </c>
      <c r="D67" t="s">
        <v>27</v>
      </c>
      <c r="E67" t="s">
        <v>22</v>
      </c>
      <c r="F67">
        <v>434.39</v>
      </c>
      <c r="G67">
        <v>2</v>
      </c>
      <c r="H67">
        <v>0</v>
      </c>
      <c r="I67">
        <v>2</v>
      </c>
    </row>
    <row r="68" spans="1:9" x14ac:dyDescent="0.2">
      <c r="A68" t="s">
        <v>103</v>
      </c>
      <c r="B68" s="1">
        <v>45992</v>
      </c>
      <c r="C68" t="s">
        <v>78</v>
      </c>
      <c r="D68" t="s">
        <v>11</v>
      </c>
      <c r="E68" t="s">
        <v>56</v>
      </c>
      <c r="F68">
        <v>1433.41</v>
      </c>
      <c r="G68">
        <v>1</v>
      </c>
      <c r="H68">
        <v>0</v>
      </c>
      <c r="I68">
        <v>2</v>
      </c>
    </row>
    <row r="69" spans="1:9" x14ac:dyDescent="0.2">
      <c r="A69" t="s">
        <v>104</v>
      </c>
      <c r="B69" s="1">
        <v>45698</v>
      </c>
      <c r="C69" t="s">
        <v>43</v>
      </c>
      <c r="D69" t="s">
        <v>15</v>
      </c>
      <c r="E69" t="s">
        <v>39</v>
      </c>
      <c r="F69" t="s">
        <v>105</v>
      </c>
      <c r="G69">
        <v>3</v>
      </c>
      <c r="H69">
        <v>0.1</v>
      </c>
      <c r="I69">
        <v>4</v>
      </c>
    </row>
    <row r="70" spans="1:9" x14ac:dyDescent="0.2">
      <c r="A70" t="s">
        <v>106</v>
      </c>
      <c r="B70" s="1">
        <v>45896</v>
      </c>
      <c r="C70" t="s">
        <v>10</v>
      </c>
      <c r="D70" t="s">
        <v>11</v>
      </c>
      <c r="E70" t="s">
        <v>22</v>
      </c>
      <c r="F70">
        <v>979.34</v>
      </c>
      <c r="G70">
        <v>5</v>
      </c>
      <c r="H70">
        <v>0.2</v>
      </c>
      <c r="I70">
        <v>4</v>
      </c>
    </row>
    <row r="71" spans="1:9" x14ac:dyDescent="0.2">
      <c r="A71" t="s">
        <v>107</v>
      </c>
      <c r="B71" s="1">
        <v>45909</v>
      </c>
      <c r="C71" t="s">
        <v>29</v>
      </c>
      <c r="D71" t="s">
        <v>15</v>
      </c>
      <c r="E71" t="s">
        <v>39</v>
      </c>
      <c r="F71">
        <v>341.05</v>
      </c>
      <c r="G71">
        <v>10</v>
      </c>
      <c r="H71">
        <v>0</v>
      </c>
      <c r="I71">
        <v>5</v>
      </c>
    </row>
    <row r="72" spans="1:9" x14ac:dyDescent="0.2">
      <c r="A72" t="s">
        <v>108</v>
      </c>
      <c r="B72" s="1">
        <v>45952</v>
      </c>
      <c r="C72" t="s">
        <v>26</v>
      </c>
      <c r="D72" t="s">
        <v>27</v>
      </c>
      <c r="E72" t="s">
        <v>18</v>
      </c>
      <c r="F72">
        <v>532.04</v>
      </c>
      <c r="G72">
        <v>5</v>
      </c>
      <c r="H72">
        <v>0.1</v>
      </c>
      <c r="I72">
        <v>4</v>
      </c>
    </row>
    <row r="73" spans="1:9" x14ac:dyDescent="0.2">
      <c r="A73" t="s">
        <v>109</v>
      </c>
      <c r="B73" s="1">
        <v>45713</v>
      </c>
      <c r="C73" t="s">
        <v>17</v>
      </c>
      <c r="D73" t="s">
        <v>11</v>
      </c>
      <c r="E73" t="s">
        <v>47</v>
      </c>
      <c r="F73" t="s">
        <v>110</v>
      </c>
      <c r="G73">
        <v>10</v>
      </c>
      <c r="H73">
        <v>0.15</v>
      </c>
      <c r="I73">
        <v>4</v>
      </c>
    </row>
    <row r="74" spans="1:9" x14ac:dyDescent="0.2">
      <c r="A74" t="s">
        <v>111</v>
      </c>
      <c r="B74" s="1">
        <v>45934</v>
      </c>
      <c r="C74" t="s">
        <v>34</v>
      </c>
      <c r="D74" t="s">
        <v>11</v>
      </c>
      <c r="E74" t="s">
        <v>39</v>
      </c>
      <c r="F74">
        <v>1282.47</v>
      </c>
      <c r="G74">
        <v>1</v>
      </c>
      <c r="H74">
        <v>0</v>
      </c>
      <c r="I74">
        <v>4</v>
      </c>
    </row>
    <row r="75" spans="1:9" x14ac:dyDescent="0.2">
      <c r="A75" t="s">
        <v>112</v>
      </c>
      <c r="B75" s="1">
        <v>45715</v>
      </c>
      <c r="C75" t="s">
        <v>43</v>
      </c>
      <c r="D75" t="s">
        <v>15</v>
      </c>
      <c r="E75" t="s">
        <v>30</v>
      </c>
      <c r="F75">
        <v>385.28</v>
      </c>
      <c r="G75">
        <v>1</v>
      </c>
      <c r="H75">
        <v>0.2</v>
      </c>
      <c r="I75">
        <v>5</v>
      </c>
    </row>
    <row r="76" spans="1:9" x14ac:dyDescent="0.2">
      <c r="A76" t="s">
        <v>113</v>
      </c>
      <c r="B76" s="1">
        <v>46003</v>
      </c>
      <c r="C76" t="s">
        <v>41</v>
      </c>
      <c r="D76" t="s">
        <v>11</v>
      </c>
      <c r="E76" t="s">
        <v>39</v>
      </c>
      <c r="F76">
        <v>1755.52</v>
      </c>
      <c r="G76">
        <v>5</v>
      </c>
      <c r="H76">
        <v>0.15</v>
      </c>
      <c r="I76">
        <v>5</v>
      </c>
    </row>
    <row r="77" spans="1:9" x14ac:dyDescent="0.2">
      <c r="A77" t="s">
        <v>114</v>
      </c>
      <c r="B77" s="1">
        <v>45908</v>
      </c>
      <c r="C77" t="s">
        <v>29</v>
      </c>
      <c r="D77" t="s">
        <v>15</v>
      </c>
      <c r="F77">
        <v>365.92</v>
      </c>
      <c r="G77">
        <v>2</v>
      </c>
      <c r="H77">
        <v>0.2</v>
      </c>
      <c r="I77">
        <v>5</v>
      </c>
    </row>
    <row r="78" spans="1:9" x14ac:dyDescent="0.2">
      <c r="A78" t="s">
        <v>115</v>
      </c>
      <c r="B78" s="1">
        <v>45879</v>
      </c>
      <c r="C78" t="s">
        <v>10</v>
      </c>
      <c r="D78" t="s">
        <v>11</v>
      </c>
      <c r="E78" t="s">
        <v>30</v>
      </c>
      <c r="F78">
        <v>1103.71</v>
      </c>
      <c r="G78">
        <v>1</v>
      </c>
      <c r="H78">
        <v>0</v>
      </c>
    </row>
    <row r="79" spans="1:9" x14ac:dyDescent="0.2">
      <c r="A79" t="s">
        <v>116</v>
      </c>
      <c r="B79" s="1">
        <v>45973</v>
      </c>
      <c r="C79" t="s">
        <v>32</v>
      </c>
      <c r="D79" t="s">
        <v>21</v>
      </c>
      <c r="E79" t="s">
        <v>22</v>
      </c>
      <c r="F79">
        <v>1631.1</v>
      </c>
      <c r="G79">
        <v>2</v>
      </c>
      <c r="H79">
        <v>0.15</v>
      </c>
      <c r="I79">
        <v>5</v>
      </c>
    </row>
    <row r="80" spans="1:9" x14ac:dyDescent="0.2">
      <c r="A80" t="s">
        <v>117</v>
      </c>
      <c r="B80" s="1">
        <v>45692</v>
      </c>
      <c r="C80" t="s">
        <v>78</v>
      </c>
      <c r="D80" t="s">
        <v>11</v>
      </c>
      <c r="E80" t="s">
        <v>22</v>
      </c>
      <c r="F80">
        <v>1709.32</v>
      </c>
      <c r="G80">
        <v>1</v>
      </c>
      <c r="H80">
        <v>0</v>
      </c>
      <c r="I80">
        <v>2</v>
      </c>
    </row>
    <row r="81" spans="1:9" x14ac:dyDescent="0.2">
      <c r="A81" t="s">
        <v>118</v>
      </c>
      <c r="B81" s="1">
        <v>46010</v>
      </c>
      <c r="C81" t="s">
        <v>43</v>
      </c>
      <c r="D81" t="s">
        <v>15</v>
      </c>
      <c r="E81" t="s">
        <v>39</v>
      </c>
      <c r="F81">
        <v>310.64</v>
      </c>
      <c r="G81">
        <v>2</v>
      </c>
      <c r="H81">
        <v>0.2</v>
      </c>
      <c r="I81">
        <v>5</v>
      </c>
    </row>
    <row r="82" spans="1:9" x14ac:dyDescent="0.2">
      <c r="A82" t="s">
        <v>119</v>
      </c>
      <c r="B82" s="1">
        <v>45988</v>
      </c>
      <c r="C82" t="s">
        <v>32</v>
      </c>
      <c r="D82" t="s">
        <v>21</v>
      </c>
      <c r="E82" t="s">
        <v>39</v>
      </c>
      <c r="F82">
        <v>1627.5</v>
      </c>
      <c r="G82">
        <v>2</v>
      </c>
      <c r="H82">
        <v>0.1</v>
      </c>
      <c r="I82">
        <v>5</v>
      </c>
    </row>
    <row r="83" spans="1:9" x14ac:dyDescent="0.2">
      <c r="A83" t="s">
        <v>120</v>
      </c>
      <c r="B83" s="1">
        <v>45729</v>
      </c>
      <c r="C83" t="s">
        <v>17</v>
      </c>
      <c r="D83" t="s">
        <v>11</v>
      </c>
      <c r="E83" t="s">
        <v>22</v>
      </c>
      <c r="F83">
        <v>1089.45</v>
      </c>
      <c r="G83">
        <v>5</v>
      </c>
      <c r="H83">
        <v>0</v>
      </c>
      <c r="I83">
        <v>4</v>
      </c>
    </row>
    <row r="84" spans="1:9" x14ac:dyDescent="0.2">
      <c r="A84" t="s">
        <v>121</v>
      </c>
      <c r="B84" s="1">
        <v>45755</v>
      </c>
      <c r="C84" t="s">
        <v>10</v>
      </c>
      <c r="D84" t="s">
        <v>11</v>
      </c>
      <c r="E84" t="s">
        <v>39</v>
      </c>
      <c r="F84">
        <v>1001.88</v>
      </c>
      <c r="G84">
        <v>-1</v>
      </c>
      <c r="H84">
        <v>0</v>
      </c>
      <c r="I84">
        <v>1</v>
      </c>
    </row>
    <row r="85" spans="1:9" x14ac:dyDescent="0.2">
      <c r="A85" t="s">
        <v>122</v>
      </c>
      <c r="B85" s="1">
        <v>45921</v>
      </c>
      <c r="C85" t="s">
        <v>41</v>
      </c>
      <c r="D85" t="s">
        <v>11</v>
      </c>
      <c r="E85" t="s">
        <v>56</v>
      </c>
      <c r="F85">
        <v>1070.46</v>
      </c>
      <c r="G85">
        <v>1</v>
      </c>
      <c r="H85">
        <v>0</v>
      </c>
      <c r="I85">
        <v>4</v>
      </c>
    </row>
    <row r="86" spans="1:9" x14ac:dyDescent="0.2">
      <c r="A86" t="s">
        <v>123</v>
      </c>
      <c r="B86" s="1">
        <v>45974</v>
      </c>
      <c r="C86" t="s">
        <v>41</v>
      </c>
      <c r="D86" t="s">
        <v>11</v>
      </c>
      <c r="E86" t="s">
        <v>22</v>
      </c>
      <c r="F86">
        <v>1480.27</v>
      </c>
      <c r="G86">
        <v>1</v>
      </c>
      <c r="H86">
        <v>0.2</v>
      </c>
      <c r="I86">
        <v>4</v>
      </c>
    </row>
    <row r="87" spans="1:9" x14ac:dyDescent="0.2">
      <c r="A87" t="s">
        <v>124</v>
      </c>
      <c r="B87" s="1">
        <v>45972</v>
      </c>
      <c r="C87" t="s">
        <v>24</v>
      </c>
      <c r="D87" t="s">
        <v>15</v>
      </c>
      <c r="E87" t="s">
        <v>47</v>
      </c>
      <c r="G87">
        <v>10</v>
      </c>
      <c r="H87">
        <v>0.2</v>
      </c>
      <c r="I87">
        <v>1</v>
      </c>
    </row>
    <row r="88" spans="1:9" x14ac:dyDescent="0.2">
      <c r="A88" t="s">
        <v>125</v>
      </c>
      <c r="B88" s="1">
        <v>45851</v>
      </c>
      <c r="C88" t="s">
        <v>17</v>
      </c>
      <c r="D88" t="s">
        <v>11</v>
      </c>
      <c r="E88" t="s">
        <v>56</v>
      </c>
      <c r="F88">
        <v>1087.33</v>
      </c>
      <c r="G88">
        <v>1</v>
      </c>
      <c r="H88">
        <v>0.15</v>
      </c>
      <c r="I88">
        <v>4</v>
      </c>
    </row>
    <row r="89" spans="1:9" x14ac:dyDescent="0.2">
      <c r="A89" t="s">
        <v>126</v>
      </c>
      <c r="B89" s="1">
        <v>45784</v>
      </c>
      <c r="C89" t="s">
        <v>26</v>
      </c>
      <c r="D89" t="s">
        <v>27</v>
      </c>
      <c r="E89" t="s">
        <v>47</v>
      </c>
      <c r="F89">
        <v>562.89</v>
      </c>
      <c r="G89">
        <v>1</v>
      </c>
      <c r="H89">
        <v>0.15</v>
      </c>
      <c r="I89">
        <v>2</v>
      </c>
    </row>
    <row r="90" spans="1:9" x14ac:dyDescent="0.2">
      <c r="A90" t="s">
        <v>127</v>
      </c>
      <c r="B90" s="1">
        <v>45856</v>
      </c>
      <c r="C90" t="s">
        <v>34</v>
      </c>
      <c r="D90" t="s">
        <v>11</v>
      </c>
      <c r="E90" t="s">
        <v>39</v>
      </c>
      <c r="F90">
        <v>1349.79</v>
      </c>
      <c r="G90">
        <v>3</v>
      </c>
      <c r="H90">
        <v>0</v>
      </c>
      <c r="I90">
        <v>1</v>
      </c>
    </row>
    <row r="91" spans="1:9" x14ac:dyDescent="0.2">
      <c r="A91" t="s">
        <v>128</v>
      </c>
      <c r="B91" s="1">
        <v>45863</v>
      </c>
      <c r="C91" t="s">
        <v>34</v>
      </c>
      <c r="D91" t="s">
        <v>11</v>
      </c>
      <c r="E91" t="s">
        <v>22</v>
      </c>
      <c r="F91">
        <v>911.93</v>
      </c>
      <c r="G91">
        <v>5</v>
      </c>
      <c r="H91">
        <v>0.2</v>
      </c>
      <c r="I91">
        <v>2</v>
      </c>
    </row>
    <row r="92" spans="1:9" x14ac:dyDescent="0.2">
      <c r="A92" t="s">
        <v>129</v>
      </c>
      <c r="B92" s="1">
        <v>45884</v>
      </c>
      <c r="C92" t="s">
        <v>43</v>
      </c>
      <c r="D92" t="s">
        <v>15</v>
      </c>
      <c r="E92" t="s">
        <v>39</v>
      </c>
      <c r="F92">
        <v>337.12</v>
      </c>
      <c r="G92">
        <v>3</v>
      </c>
      <c r="H92">
        <v>0</v>
      </c>
      <c r="I92">
        <v>5</v>
      </c>
    </row>
    <row r="93" spans="1:9" x14ac:dyDescent="0.2">
      <c r="A93" t="s">
        <v>130</v>
      </c>
      <c r="B93" s="1">
        <v>46006</v>
      </c>
      <c r="C93" t="s">
        <v>78</v>
      </c>
      <c r="D93" t="s">
        <v>11</v>
      </c>
      <c r="E93" t="s">
        <v>18</v>
      </c>
      <c r="F93">
        <v>1018.71</v>
      </c>
      <c r="G93">
        <v>1</v>
      </c>
      <c r="H93">
        <v>0.2</v>
      </c>
      <c r="I93">
        <v>1</v>
      </c>
    </row>
    <row r="94" spans="1:9" x14ac:dyDescent="0.2">
      <c r="A94" t="s">
        <v>131</v>
      </c>
      <c r="B94" s="1">
        <v>45880</v>
      </c>
      <c r="C94" t="s">
        <v>32</v>
      </c>
      <c r="D94" t="s">
        <v>21</v>
      </c>
      <c r="E94" t="s">
        <v>47</v>
      </c>
      <c r="F94">
        <v>2721.63</v>
      </c>
      <c r="G94">
        <v>5</v>
      </c>
      <c r="H94">
        <v>0.1</v>
      </c>
      <c r="I94">
        <v>5</v>
      </c>
    </row>
    <row r="95" spans="1:9" x14ac:dyDescent="0.2">
      <c r="A95" t="s">
        <v>132</v>
      </c>
      <c r="B95" s="1">
        <v>45718</v>
      </c>
      <c r="C95" t="s">
        <v>54</v>
      </c>
      <c r="D95" t="s">
        <v>15</v>
      </c>
      <c r="E95" t="s">
        <v>47</v>
      </c>
      <c r="F95">
        <v>338.8</v>
      </c>
      <c r="G95">
        <v>2</v>
      </c>
      <c r="H95">
        <v>0</v>
      </c>
      <c r="I95">
        <v>5</v>
      </c>
    </row>
    <row r="96" spans="1:9" x14ac:dyDescent="0.2">
      <c r="A96" t="s">
        <v>133</v>
      </c>
      <c r="B96" s="1">
        <v>45817</v>
      </c>
      <c r="C96" t="s">
        <v>43</v>
      </c>
      <c r="D96" t="s">
        <v>15</v>
      </c>
      <c r="E96" t="s">
        <v>47</v>
      </c>
      <c r="F96">
        <v>438.68</v>
      </c>
      <c r="G96">
        <v>3</v>
      </c>
      <c r="H96">
        <v>0</v>
      </c>
    </row>
    <row r="97" spans="1:9" x14ac:dyDescent="0.2">
      <c r="A97" t="s">
        <v>134</v>
      </c>
      <c r="B97" s="1">
        <v>45790</v>
      </c>
      <c r="C97" t="s">
        <v>14</v>
      </c>
      <c r="D97" t="s">
        <v>15</v>
      </c>
      <c r="E97" t="s">
        <v>30</v>
      </c>
      <c r="F97">
        <v>281.69</v>
      </c>
      <c r="G97">
        <v>1</v>
      </c>
      <c r="H97">
        <v>0.2</v>
      </c>
      <c r="I97">
        <v>5</v>
      </c>
    </row>
    <row r="98" spans="1:9" x14ac:dyDescent="0.2">
      <c r="A98" t="s">
        <v>135</v>
      </c>
      <c r="B98" s="1">
        <v>45790</v>
      </c>
      <c r="C98" t="s">
        <v>24</v>
      </c>
      <c r="D98" t="s">
        <v>15</v>
      </c>
      <c r="E98" t="s">
        <v>12</v>
      </c>
      <c r="F98">
        <v>406.95</v>
      </c>
      <c r="G98">
        <v>3</v>
      </c>
      <c r="H98">
        <v>0</v>
      </c>
      <c r="I98">
        <v>4</v>
      </c>
    </row>
    <row r="99" spans="1:9" x14ac:dyDescent="0.2">
      <c r="A99" t="s">
        <v>136</v>
      </c>
      <c r="B99" s="1">
        <v>45939</v>
      </c>
      <c r="C99" t="s">
        <v>29</v>
      </c>
      <c r="D99" t="s">
        <v>15</v>
      </c>
      <c r="E99" t="s">
        <v>56</v>
      </c>
      <c r="F99">
        <v>329.79</v>
      </c>
      <c r="G99">
        <v>2</v>
      </c>
      <c r="H99">
        <v>0</v>
      </c>
      <c r="I99">
        <v>3</v>
      </c>
    </row>
    <row r="100" spans="1:9" x14ac:dyDescent="0.2">
      <c r="A100" t="s">
        <v>137</v>
      </c>
      <c r="B100" s="1">
        <v>46010</v>
      </c>
      <c r="C100" t="s">
        <v>54</v>
      </c>
      <c r="D100" t="s">
        <v>15</v>
      </c>
      <c r="E100" t="s">
        <v>30</v>
      </c>
      <c r="F100">
        <v>317.83999999999997</v>
      </c>
      <c r="G100">
        <v>1</v>
      </c>
      <c r="H100">
        <v>0.2</v>
      </c>
      <c r="I100">
        <v>4</v>
      </c>
    </row>
    <row r="101" spans="1:9" x14ac:dyDescent="0.2">
      <c r="A101" t="s">
        <v>138</v>
      </c>
      <c r="B101" s="1">
        <v>45917</v>
      </c>
      <c r="C101" t="s">
        <v>50</v>
      </c>
      <c r="D101" t="s">
        <v>11</v>
      </c>
      <c r="F101">
        <v>1050.55</v>
      </c>
      <c r="G101">
        <v>5</v>
      </c>
      <c r="H101">
        <v>0.1</v>
      </c>
    </row>
    <row r="102" spans="1:9" x14ac:dyDescent="0.2">
      <c r="A102" t="s">
        <v>139</v>
      </c>
      <c r="B102" s="1">
        <v>45926</v>
      </c>
      <c r="C102" t="s">
        <v>26</v>
      </c>
      <c r="D102" t="s">
        <v>27</v>
      </c>
      <c r="E102" t="s">
        <v>56</v>
      </c>
      <c r="F102">
        <v>705.8</v>
      </c>
      <c r="G102">
        <v>1</v>
      </c>
      <c r="H102">
        <v>0</v>
      </c>
      <c r="I102">
        <v>4</v>
      </c>
    </row>
    <row r="103" spans="1:9" x14ac:dyDescent="0.2">
      <c r="A103" t="s">
        <v>140</v>
      </c>
      <c r="B103" s="1">
        <v>45922</v>
      </c>
      <c r="C103" t="s">
        <v>20</v>
      </c>
      <c r="D103" t="s">
        <v>21</v>
      </c>
      <c r="E103" t="s">
        <v>30</v>
      </c>
      <c r="F103">
        <v>1867.24</v>
      </c>
      <c r="G103">
        <v>2</v>
      </c>
      <c r="H103">
        <v>0</v>
      </c>
      <c r="I103">
        <v>5</v>
      </c>
    </row>
    <row r="104" spans="1:9" x14ac:dyDescent="0.2">
      <c r="A104" t="s">
        <v>141</v>
      </c>
      <c r="B104" s="1">
        <v>45932</v>
      </c>
      <c r="C104" t="s">
        <v>10</v>
      </c>
      <c r="D104" t="s">
        <v>11</v>
      </c>
      <c r="E104" t="s">
        <v>18</v>
      </c>
      <c r="F104">
        <v>1186.33</v>
      </c>
      <c r="G104">
        <v>3</v>
      </c>
      <c r="H104">
        <v>0.1</v>
      </c>
      <c r="I104">
        <v>4</v>
      </c>
    </row>
    <row r="105" spans="1:9" x14ac:dyDescent="0.2">
      <c r="A105" t="s">
        <v>142</v>
      </c>
      <c r="B105" s="1">
        <v>45666</v>
      </c>
      <c r="C105" t="s">
        <v>50</v>
      </c>
      <c r="D105" t="s">
        <v>11</v>
      </c>
      <c r="E105" t="s">
        <v>12</v>
      </c>
      <c r="F105">
        <v>1072.74</v>
      </c>
      <c r="G105">
        <v>2</v>
      </c>
      <c r="H105">
        <v>0</v>
      </c>
      <c r="I105">
        <v>2</v>
      </c>
    </row>
    <row r="106" spans="1:9" x14ac:dyDescent="0.2">
      <c r="A106" t="s">
        <v>143</v>
      </c>
      <c r="B106" s="1">
        <v>45872</v>
      </c>
      <c r="C106" t="s">
        <v>17</v>
      </c>
      <c r="D106" t="s">
        <v>11</v>
      </c>
      <c r="E106" t="s">
        <v>30</v>
      </c>
      <c r="F106">
        <v>1217.5999999999999</v>
      </c>
      <c r="G106">
        <v>10</v>
      </c>
      <c r="H106">
        <v>0</v>
      </c>
      <c r="I106">
        <v>3</v>
      </c>
    </row>
    <row r="107" spans="1:9" x14ac:dyDescent="0.2">
      <c r="A107" t="s">
        <v>144</v>
      </c>
      <c r="B107" s="1">
        <v>45881</v>
      </c>
      <c r="C107" t="s">
        <v>32</v>
      </c>
      <c r="D107" t="s">
        <v>21</v>
      </c>
      <c r="E107" t="s">
        <v>39</v>
      </c>
      <c r="F107">
        <v>2059.8000000000002</v>
      </c>
      <c r="G107">
        <v>10</v>
      </c>
      <c r="H107">
        <v>0.2</v>
      </c>
      <c r="I107">
        <v>5</v>
      </c>
    </row>
    <row r="108" spans="1:9" x14ac:dyDescent="0.2">
      <c r="A108" t="s">
        <v>145</v>
      </c>
      <c r="B108" s="1">
        <v>45750</v>
      </c>
      <c r="C108" t="s">
        <v>32</v>
      </c>
      <c r="D108" t="s">
        <v>21</v>
      </c>
      <c r="E108" t="s">
        <v>30</v>
      </c>
      <c r="F108">
        <v>2259.96</v>
      </c>
      <c r="G108">
        <v>1</v>
      </c>
      <c r="H108">
        <v>0.2</v>
      </c>
      <c r="I108">
        <v>5</v>
      </c>
    </row>
    <row r="109" spans="1:9" x14ac:dyDescent="0.2">
      <c r="A109" t="s">
        <v>146</v>
      </c>
      <c r="B109" s="1">
        <v>45871</v>
      </c>
      <c r="C109" t="s">
        <v>17</v>
      </c>
      <c r="D109" t="s">
        <v>11</v>
      </c>
      <c r="E109" t="s">
        <v>22</v>
      </c>
      <c r="F109">
        <v>1146.97</v>
      </c>
      <c r="G109">
        <v>1</v>
      </c>
      <c r="H109">
        <v>0.1</v>
      </c>
      <c r="I109">
        <v>4</v>
      </c>
    </row>
    <row r="110" spans="1:9" x14ac:dyDescent="0.2">
      <c r="A110" t="s">
        <v>147</v>
      </c>
      <c r="B110" s="1">
        <v>45789</v>
      </c>
      <c r="C110" t="s">
        <v>14</v>
      </c>
      <c r="D110" t="s">
        <v>15</v>
      </c>
      <c r="E110" t="s">
        <v>39</v>
      </c>
      <c r="F110">
        <v>503.33</v>
      </c>
      <c r="G110">
        <v>3</v>
      </c>
      <c r="H110">
        <v>0</v>
      </c>
      <c r="I110">
        <v>2</v>
      </c>
    </row>
    <row r="111" spans="1:9" x14ac:dyDescent="0.2">
      <c r="A111" t="s">
        <v>148</v>
      </c>
      <c r="B111" s="1">
        <v>45870</v>
      </c>
      <c r="C111" t="s">
        <v>10</v>
      </c>
      <c r="D111" t="s">
        <v>11</v>
      </c>
      <c r="E111" t="s">
        <v>12</v>
      </c>
      <c r="F111">
        <v>1313.58</v>
      </c>
      <c r="G111">
        <v>3</v>
      </c>
      <c r="H111">
        <v>0.15</v>
      </c>
      <c r="I111">
        <v>4</v>
      </c>
    </row>
    <row r="112" spans="1:9" x14ac:dyDescent="0.2">
      <c r="A112" t="s">
        <v>149</v>
      </c>
      <c r="B112" s="1">
        <v>45996</v>
      </c>
      <c r="C112" t="s">
        <v>43</v>
      </c>
      <c r="D112" t="s">
        <v>15</v>
      </c>
      <c r="E112" t="s">
        <v>22</v>
      </c>
      <c r="F112">
        <v>299.10000000000002</v>
      </c>
      <c r="G112">
        <v>1</v>
      </c>
      <c r="H112">
        <v>0.2</v>
      </c>
    </row>
    <row r="113" spans="1:9" x14ac:dyDescent="0.2">
      <c r="A113" t="s">
        <v>150</v>
      </c>
      <c r="B113" s="1">
        <v>45752</v>
      </c>
      <c r="C113" t="s">
        <v>43</v>
      </c>
      <c r="D113" t="s">
        <v>15</v>
      </c>
      <c r="E113" t="s">
        <v>22</v>
      </c>
      <c r="F113">
        <v>364.98</v>
      </c>
      <c r="G113">
        <v>10</v>
      </c>
      <c r="H113">
        <v>0</v>
      </c>
      <c r="I113">
        <v>4</v>
      </c>
    </row>
    <row r="114" spans="1:9" x14ac:dyDescent="0.2">
      <c r="A114" t="s">
        <v>151</v>
      </c>
      <c r="B114" s="1">
        <v>45678</v>
      </c>
      <c r="C114" t="s">
        <v>41</v>
      </c>
      <c r="D114" t="s">
        <v>11</v>
      </c>
      <c r="E114" t="s">
        <v>30</v>
      </c>
      <c r="F114">
        <v>1400.14</v>
      </c>
      <c r="G114">
        <v>2</v>
      </c>
      <c r="H114">
        <v>0</v>
      </c>
      <c r="I114">
        <v>5</v>
      </c>
    </row>
    <row r="115" spans="1:9" x14ac:dyDescent="0.2">
      <c r="A115" t="s">
        <v>152</v>
      </c>
      <c r="B115" s="1">
        <v>45742</v>
      </c>
      <c r="C115" t="s">
        <v>26</v>
      </c>
      <c r="D115" t="s">
        <v>27</v>
      </c>
      <c r="E115" t="s">
        <v>56</v>
      </c>
      <c r="F115">
        <v>638.89</v>
      </c>
      <c r="G115">
        <v>5</v>
      </c>
      <c r="H115">
        <v>0</v>
      </c>
      <c r="I115">
        <v>5</v>
      </c>
    </row>
    <row r="116" spans="1:9" x14ac:dyDescent="0.2">
      <c r="A116" t="s">
        <v>153</v>
      </c>
      <c r="B116" s="1">
        <v>45896</v>
      </c>
      <c r="C116" t="s">
        <v>32</v>
      </c>
      <c r="D116" t="s">
        <v>21</v>
      </c>
      <c r="E116" t="s">
        <v>22</v>
      </c>
      <c r="G116">
        <v>3</v>
      </c>
      <c r="H116">
        <v>0.1</v>
      </c>
      <c r="I116">
        <v>2</v>
      </c>
    </row>
    <row r="117" spans="1:9" x14ac:dyDescent="0.2">
      <c r="A117" t="s">
        <v>154</v>
      </c>
      <c r="B117" s="1">
        <v>46010</v>
      </c>
      <c r="C117" t="s">
        <v>41</v>
      </c>
      <c r="D117" t="s">
        <v>11</v>
      </c>
      <c r="E117" t="s">
        <v>18</v>
      </c>
      <c r="F117">
        <v>1313.42</v>
      </c>
      <c r="G117">
        <v>1</v>
      </c>
      <c r="H117">
        <v>0</v>
      </c>
      <c r="I117">
        <v>1</v>
      </c>
    </row>
    <row r="118" spans="1:9" x14ac:dyDescent="0.2">
      <c r="A118" t="s">
        <v>155</v>
      </c>
      <c r="B118" s="1">
        <v>45968</v>
      </c>
      <c r="C118" t="s">
        <v>43</v>
      </c>
      <c r="D118" t="s">
        <v>15</v>
      </c>
      <c r="E118" t="s">
        <v>47</v>
      </c>
      <c r="F118">
        <v>332.67</v>
      </c>
      <c r="G118">
        <v>1</v>
      </c>
      <c r="H118">
        <v>0.1</v>
      </c>
      <c r="I118">
        <v>2</v>
      </c>
    </row>
    <row r="119" spans="1:9" x14ac:dyDescent="0.2">
      <c r="A119" t="s">
        <v>156</v>
      </c>
      <c r="B119" s="1">
        <v>45970</v>
      </c>
      <c r="C119" t="s">
        <v>50</v>
      </c>
      <c r="D119" t="s">
        <v>11</v>
      </c>
      <c r="E119" t="s">
        <v>56</v>
      </c>
      <c r="F119">
        <v>1135.23</v>
      </c>
      <c r="G119">
        <v>1</v>
      </c>
      <c r="H119">
        <v>0.1</v>
      </c>
      <c r="I119">
        <v>5</v>
      </c>
    </row>
    <row r="120" spans="1:9" x14ac:dyDescent="0.2">
      <c r="A120" t="s">
        <v>157</v>
      </c>
      <c r="B120" s="1">
        <v>45885</v>
      </c>
      <c r="C120" t="s">
        <v>24</v>
      </c>
      <c r="D120" t="s">
        <v>15</v>
      </c>
      <c r="E120" t="s">
        <v>18</v>
      </c>
      <c r="F120">
        <v>371.76</v>
      </c>
      <c r="G120">
        <v>1</v>
      </c>
      <c r="H120">
        <v>0.15</v>
      </c>
      <c r="I120">
        <v>3</v>
      </c>
    </row>
    <row r="121" spans="1:9" x14ac:dyDescent="0.2">
      <c r="A121" t="s">
        <v>158</v>
      </c>
      <c r="B121" s="1">
        <v>45736</v>
      </c>
      <c r="C121" t="s">
        <v>14</v>
      </c>
      <c r="D121" t="s">
        <v>15</v>
      </c>
      <c r="E121" t="s">
        <v>39</v>
      </c>
      <c r="F121">
        <v>240.08</v>
      </c>
      <c r="G121">
        <v>2</v>
      </c>
      <c r="H121">
        <v>0.2</v>
      </c>
      <c r="I121">
        <v>1</v>
      </c>
    </row>
    <row r="122" spans="1:9" x14ac:dyDescent="0.2">
      <c r="A122" t="s">
        <v>159</v>
      </c>
      <c r="B122" s="1">
        <v>45783</v>
      </c>
      <c r="C122" t="s">
        <v>26</v>
      </c>
      <c r="D122" t="s">
        <v>27</v>
      </c>
      <c r="E122" t="s">
        <v>56</v>
      </c>
      <c r="F122">
        <v>456.46</v>
      </c>
      <c r="G122">
        <v>3</v>
      </c>
      <c r="H122">
        <v>0</v>
      </c>
      <c r="I122">
        <v>3</v>
      </c>
    </row>
    <row r="123" spans="1:9" x14ac:dyDescent="0.2">
      <c r="A123" t="s">
        <v>160</v>
      </c>
      <c r="B123" s="1">
        <v>45901</v>
      </c>
      <c r="C123" t="s">
        <v>34</v>
      </c>
      <c r="D123" t="s">
        <v>11</v>
      </c>
      <c r="E123" t="s">
        <v>30</v>
      </c>
      <c r="F123">
        <v>1201.23</v>
      </c>
      <c r="G123">
        <v>1</v>
      </c>
      <c r="H123">
        <v>0.1</v>
      </c>
      <c r="I123">
        <v>5</v>
      </c>
    </row>
    <row r="124" spans="1:9" x14ac:dyDescent="0.2">
      <c r="A124" t="s">
        <v>161</v>
      </c>
      <c r="B124" s="1">
        <v>45760</v>
      </c>
      <c r="C124" t="s">
        <v>14</v>
      </c>
      <c r="D124" t="s">
        <v>15</v>
      </c>
      <c r="E124" t="s">
        <v>39</v>
      </c>
      <c r="F124">
        <v>354.73</v>
      </c>
      <c r="G124">
        <v>2</v>
      </c>
      <c r="H124">
        <v>0</v>
      </c>
      <c r="I124">
        <v>4</v>
      </c>
    </row>
    <row r="125" spans="1:9" x14ac:dyDescent="0.2">
      <c r="A125" t="s">
        <v>162</v>
      </c>
      <c r="B125" s="1">
        <v>45922</v>
      </c>
      <c r="C125" t="s">
        <v>24</v>
      </c>
      <c r="D125" t="s">
        <v>15</v>
      </c>
      <c r="E125" t="s">
        <v>47</v>
      </c>
      <c r="F125">
        <v>383.67</v>
      </c>
      <c r="G125">
        <v>2</v>
      </c>
      <c r="H125">
        <v>0</v>
      </c>
      <c r="I125">
        <v>5</v>
      </c>
    </row>
    <row r="126" spans="1:9" x14ac:dyDescent="0.2">
      <c r="A126" t="s">
        <v>163</v>
      </c>
      <c r="B126" s="1">
        <v>45770</v>
      </c>
      <c r="C126" t="s">
        <v>50</v>
      </c>
      <c r="D126" t="s">
        <v>11</v>
      </c>
      <c r="E126" t="s">
        <v>56</v>
      </c>
      <c r="F126">
        <v>1409.07</v>
      </c>
      <c r="G126">
        <v>2</v>
      </c>
      <c r="H126">
        <v>0</v>
      </c>
      <c r="I126">
        <v>4</v>
      </c>
    </row>
    <row r="127" spans="1:9" x14ac:dyDescent="0.2">
      <c r="A127" t="s">
        <v>164</v>
      </c>
      <c r="B127" s="1">
        <v>45708</v>
      </c>
      <c r="C127" t="s">
        <v>41</v>
      </c>
      <c r="D127" t="s">
        <v>11</v>
      </c>
      <c r="E127" t="s">
        <v>18</v>
      </c>
      <c r="F127">
        <v>1210.94</v>
      </c>
      <c r="G127">
        <v>3</v>
      </c>
      <c r="H127">
        <v>0.15</v>
      </c>
      <c r="I127">
        <v>5</v>
      </c>
    </row>
    <row r="128" spans="1:9" x14ac:dyDescent="0.2">
      <c r="A128" t="s">
        <v>165</v>
      </c>
      <c r="B128" s="1">
        <v>45839</v>
      </c>
      <c r="C128" t="s">
        <v>78</v>
      </c>
      <c r="D128" t="s">
        <v>11</v>
      </c>
      <c r="E128" t="s">
        <v>39</v>
      </c>
      <c r="F128" t="s">
        <v>166</v>
      </c>
      <c r="G128">
        <v>1</v>
      </c>
      <c r="H128">
        <v>0.2</v>
      </c>
      <c r="I128">
        <v>1</v>
      </c>
    </row>
    <row r="129" spans="1:9" x14ac:dyDescent="0.2">
      <c r="A129" t="s">
        <v>167</v>
      </c>
      <c r="B129" s="1">
        <v>45711</v>
      </c>
      <c r="C129" t="s">
        <v>24</v>
      </c>
      <c r="D129" t="s">
        <v>15</v>
      </c>
      <c r="E129" t="s">
        <v>18</v>
      </c>
      <c r="F129">
        <v>393.12</v>
      </c>
      <c r="G129">
        <v>1</v>
      </c>
      <c r="H129">
        <v>0</v>
      </c>
      <c r="I129">
        <v>3</v>
      </c>
    </row>
    <row r="130" spans="1:9" x14ac:dyDescent="0.2">
      <c r="A130" t="s">
        <v>168</v>
      </c>
      <c r="B130" s="1">
        <v>45793</v>
      </c>
      <c r="C130" t="s">
        <v>26</v>
      </c>
      <c r="D130" t="s">
        <v>27</v>
      </c>
      <c r="E130" t="s">
        <v>30</v>
      </c>
      <c r="F130">
        <v>591.36</v>
      </c>
      <c r="G130">
        <v>1</v>
      </c>
      <c r="H130">
        <v>0</v>
      </c>
    </row>
    <row r="131" spans="1:9" x14ac:dyDescent="0.2">
      <c r="A131" t="s">
        <v>169</v>
      </c>
      <c r="B131" s="1">
        <v>46015</v>
      </c>
      <c r="C131" t="s">
        <v>78</v>
      </c>
      <c r="D131" t="s">
        <v>11</v>
      </c>
      <c r="E131" t="s">
        <v>39</v>
      </c>
      <c r="F131">
        <v>1281.24</v>
      </c>
      <c r="G131">
        <v>3</v>
      </c>
      <c r="H131">
        <v>0</v>
      </c>
    </row>
    <row r="132" spans="1:9" x14ac:dyDescent="0.2">
      <c r="A132" t="s">
        <v>170</v>
      </c>
      <c r="B132" s="1">
        <v>45974</v>
      </c>
      <c r="C132" t="s">
        <v>41</v>
      </c>
      <c r="D132" t="s">
        <v>11</v>
      </c>
      <c r="E132" t="s">
        <v>39</v>
      </c>
      <c r="F132">
        <v>1330.21</v>
      </c>
      <c r="G132">
        <v>3</v>
      </c>
      <c r="H132">
        <v>0.15</v>
      </c>
      <c r="I132">
        <v>4</v>
      </c>
    </row>
    <row r="133" spans="1:9" x14ac:dyDescent="0.2">
      <c r="A133" t="s">
        <v>171</v>
      </c>
      <c r="B133" s="1">
        <v>45738</v>
      </c>
      <c r="C133" t="s">
        <v>26</v>
      </c>
      <c r="D133" t="s">
        <v>27</v>
      </c>
      <c r="E133" t="s">
        <v>12</v>
      </c>
      <c r="F133">
        <v>629.79</v>
      </c>
      <c r="G133">
        <v>10</v>
      </c>
      <c r="H133">
        <v>0.1</v>
      </c>
      <c r="I133">
        <v>1</v>
      </c>
    </row>
    <row r="134" spans="1:9" x14ac:dyDescent="0.2">
      <c r="A134" t="s">
        <v>172</v>
      </c>
      <c r="B134" s="1">
        <v>45861</v>
      </c>
      <c r="C134" t="s">
        <v>17</v>
      </c>
      <c r="D134" t="s">
        <v>11</v>
      </c>
      <c r="E134" t="s">
        <v>18</v>
      </c>
      <c r="F134">
        <v>1554.09</v>
      </c>
      <c r="G134">
        <v>3</v>
      </c>
      <c r="H134">
        <v>0.2</v>
      </c>
      <c r="I134">
        <v>4</v>
      </c>
    </row>
    <row r="135" spans="1:9" x14ac:dyDescent="0.2">
      <c r="A135" t="s">
        <v>173</v>
      </c>
      <c r="B135" s="1">
        <v>45903</v>
      </c>
      <c r="C135" t="s">
        <v>29</v>
      </c>
      <c r="D135" t="s">
        <v>15</v>
      </c>
      <c r="E135" t="s">
        <v>39</v>
      </c>
      <c r="F135">
        <v>342.39</v>
      </c>
      <c r="G135">
        <v>5</v>
      </c>
      <c r="H135">
        <v>0.1</v>
      </c>
      <c r="I135">
        <v>2</v>
      </c>
    </row>
    <row r="136" spans="1:9" x14ac:dyDescent="0.2">
      <c r="A136" t="s">
        <v>174</v>
      </c>
      <c r="B136" s="1">
        <v>45813</v>
      </c>
      <c r="C136" t="s">
        <v>32</v>
      </c>
      <c r="D136" t="s">
        <v>21</v>
      </c>
      <c r="E136" t="s">
        <v>39</v>
      </c>
      <c r="F136">
        <v>1893.5</v>
      </c>
      <c r="G136">
        <v>2</v>
      </c>
      <c r="H136">
        <v>0</v>
      </c>
      <c r="I136">
        <v>3</v>
      </c>
    </row>
    <row r="137" spans="1:9" x14ac:dyDescent="0.2">
      <c r="A137" t="s">
        <v>175</v>
      </c>
      <c r="B137" s="1">
        <v>45753</v>
      </c>
      <c r="C137" t="s">
        <v>10</v>
      </c>
      <c r="D137" t="s">
        <v>11</v>
      </c>
      <c r="E137" t="s">
        <v>22</v>
      </c>
      <c r="F137">
        <v>1140.25</v>
      </c>
      <c r="G137">
        <v>2</v>
      </c>
      <c r="H137">
        <v>0</v>
      </c>
      <c r="I137">
        <v>1</v>
      </c>
    </row>
    <row r="138" spans="1:9" x14ac:dyDescent="0.2">
      <c r="A138" t="s">
        <v>176</v>
      </c>
      <c r="B138" s="1">
        <v>45846</v>
      </c>
      <c r="C138" t="s">
        <v>37</v>
      </c>
      <c r="D138" t="s">
        <v>11</v>
      </c>
      <c r="E138" t="s">
        <v>22</v>
      </c>
      <c r="F138">
        <v>1364.7</v>
      </c>
      <c r="G138">
        <v>2</v>
      </c>
      <c r="H138">
        <v>0.15</v>
      </c>
      <c r="I138">
        <v>5</v>
      </c>
    </row>
    <row r="139" spans="1:9" x14ac:dyDescent="0.2">
      <c r="A139" t="s">
        <v>177</v>
      </c>
      <c r="B139" s="1">
        <v>45719</v>
      </c>
      <c r="C139" t="s">
        <v>29</v>
      </c>
      <c r="D139" t="s">
        <v>15</v>
      </c>
      <c r="E139" t="s">
        <v>18</v>
      </c>
      <c r="F139">
        <v>383.53</v>
      </c>
      <c r="G139">
        <v>5</v>
      </c>
      <c r="H139">
        <v>0.2</v>
      </c>
      <c r="I139">
        <v>3</v>
      </c>
    </row>
    <row r="140" spans="1:9" x14ac:dyDescent="0.2">
      <c r="A140" t="s">
        <v>178</v>
      </c>
      <c r="B140" s="1">
        <v>45838</v>
      </c>
      <c r="C140" t="s">
        <v>29</v>
      </c>
      <c r="D140" t="s">
        <v>15</v>
      </c>
      <c r="E140" t="s">
        <v>39</v>
      </c>
      <c r="F140">
        <v>326.01</v>
      </c>
      <c r="G140">
        <v>1</v>
      </c>
      <c r="H140">
        <v>0.15</v>
      </c>
      <c r="I140">
        <v>4</v>
      </c>
    </row>
    <row r="141" spans="1:9" x14ac:dyDescent="0.2">
      <c r="A141" t="s">
        <v>179</v>
      </c>
      <c r="B141" s="1">
        <v>45936</v>
      </c>
      <c r="C141" t="s">
        <v>14</v>
      </c>
      <c r="D141" t="s">
        <v>15</v>
      </c>
      <c r="E141" t="s">
        <v>12</v>
      </c>
      <c r="F141">
        <v>406.88</v>
      </c>
      <c r="G141">
        <v>2</v>
      </c>
      <c r="H141">
        <v>0.15</v>
      </c>
    </row>
    <row r="142" spans="1:9" x14ac:dyDescent="0.2">
      <c r="A142" t="s">
        <v>180</v>
      </c>
      <c r="B142" s="1">
        <v>46004</v>
      </c>
      <c r="C142" t="s">
        <v>50</v>
      </c>
      <c r="D142" t="s">
        <v>11</v>
      </c>
      <c r="E142" t="s">
        <v>39</v>
      </c>
      <c r="F142">
        <v>909.36</v>
      </c>
      <c r="G142">
        <v>5</v>
      </c>
      <c r="H142">
        <v>0</v>
      </c>
      <c r="I142">
        <v>5</v>
      </c>
    </row>
    <row r="143" spans="1:9" x14ac:dyDescent="0.2">
      <c r="A143" t="s">
        <v>181</v>
      </c>
      <c r="B143" s="1">
        <v>46011</v>
      </c>
      <c r="C143" t="s">
        <v>29</v>
      </c>
      <c r="D143" t="s">
        <v>15</v>
      </c>
      <c r="E143" t="s">
        <v>47</v>
      </c>
      <c r="F143">
        <v>263.41000000000003</v>
      </c>
      <c r="G143">
        <v>1</v>
      </c>
      <c r="H143">
        <v>0</v>
      </c>
      <c r="I143">
        <v>4</v>
      </c>
    </row>
    <row r="144" spans="1:9" x14ac:dyDescent="0.2">
      <c r="A144" t="s">
        <v>182</v>
      </c>
      <c r="B144" s="1">
        <v>45731</v>
      </c>
      <c r="C144" t="s">
        <v>14</v>
      </c>
      <c r="D144" t="s">
        <v>15</v>
      </c>
      <c r="E144" t="s">
        <v>47</v>
      </c>
      <c r="F144">
        <v>253.56</v>
      </c>
      <c r="G144">
        <v>2</v>
      </c>
      <c r="H144">
        <v>0.1</v>
      </c>
      <c r="I144">
        <v>4</v>
      </c>
    </row>
    <row r="145" spans="1:9" x14ac:dyDescent="0.2">
      <c r="A145" t="s">
        <v>183</v>
      </c>
      <c r="B145" s="1">
        <v>45699</v>
      </c>
      <c r="C145" t="s">
        <v>43</v>
      </c>
      <c r="D145" t="s">
        <v>15</v>
      </c>
      <c r="E145" t="s">
        <v>39</v>
      </c>
      <c r="F145">
        <v>395.96</v>
      </c>
      <c r="G145">
        <v>1</v>
      </c>
      <c r="H145">
        <v>0</v>
      </c>
      <c r="I145">
        <v>3</v>
      </c>
    </row>
    <row r="146" spans="1:9" x14ac:dyDescent="0.2">
      <c r="A146" t="s">
        <v>184</v>
      </c>
      <c r="B146" s="1">
        <v>45834</v>
      </c>
      <c r="C146" t="s">
        <v>37</v>
      </c>
      <c r="D146" t="s">
        <v>11</v>
      </c>
      <c r="E146" t="s">
        <v>39</v>
      </c>
      <c r="F146">
        <v>700.34</v>
      </c>
      <c r="G146">
        <v>5</v>
      </c>
      <c r="H146">
        <v>0.15</v>
      </c>
      <c r="I146">
        <v>4</v>
      </c>
    </row>
    <row r="147" spans="1:9" x14ac:dyDescent="0.2">
      <c r="A147" t="s">
        <v>185</v>
      </c>
      <c r="B147" s="1">
        <v>45674</v>
      </c>
      <c r="C147" t="s">
        <v>43</v>
      </c>
      <c r="D147" t="s">
        <v>15</v>
      </c>
      <c r="E147" t="s">
        <v>12</v>
      </c>
      <c r="F147">
        <v>279.43</v>
      </c>
      <c r="G147">
        <v>10</v>
      </c>
      <c r="H147">
        <v>0</v>
      </c>
      <c r="I147">
        <v>5</v>
      </c>
    </row>
    <row r="148" spans="1:9" x14ac:dyDescent="0.2">
      <c r="A148" t="s">
        <v>186</v>
      </c>
      <c r="B148" s="1">
        <v>45664</v>
      </c>
      <c r="C148" t="s">
        <v>34</v>
      </c>
      <c r="D148" t="s">
        <v>11</v>
      </c>
      <c r="E148" t="s">
        <v>56</v>
      </c>
      <c r="F148">
        <v>1582.36</v>
      </c>
      <c r="G148">
        <v>2</v>
      </c>
      <c r="H148">
        <v>0</v>
      </c>
      <c r="I148">
        <v>5</v>
      </c>
    </row>
    <row r="149" spans="1:9" x14ac:dyDescent="0.2">
      <c r="A149" t="s">
        <v>187</v>
      </c>
      <c r="B149" s="1">
        <v>45819</v>
      </c>
      <c r="C149" t="s">
        <v>41</v>
      </c>
      <c r="D149" t="s">
        <v>11</v>
      </c>
      <c r="E149" t="s">
        <v>39</v>
      </c>
      <c r="F149">
        <v>731.5</v>
      </c>
      <c r="G149">
        <v>1</v>
      </c>
      <c r="H149">
        <v>0.1</v>
      </c>
      <c r="I149">
        <v>2</v>
      </c>
    </row>
    <row r="150" spans="1:9" x14ac:dyDescent="0.2">
      <c r="A150" t="s">
        <v>188</v>
      </c>
      <c r="B150" s="1">
        <v>46014</v>
      </c>
      <c r="C150" t="s">
        <v>26</v>
      </c>
      <c r="D150" t="s">
        <v>27</v>
      </c>
      <c r="E150" t="s">
        <v>47</v>
      </c>
      <c r="F150">
        <v>639.88</v>
      </c>
      <c r="G150">
        <v>2</v>
      </c>
      <c r="H150">
        <v>0</v>
      </c>
      <c r="I150">
        <v>2</v>
      </c>
    </row>
    <row r="151" spans="1:9" x14ac:dyDescent="0.2">
      <c r="A151" t="s">
        <v>189</v>
      </c>
      <c r="B151" s="1">
        <v>46018</v>
      </c>
      <c r="C151" t="s">
        <v>54</v>
      </c>
      <c r="D151" t="s">
        <v>15</v>
      </c>
      <c r="E151" t="s">
        <v>47</v>
      </c>
      <c r="F151">
        <v>431.42</v>
      </c>
      <c r="G151">
        <v>2</v>
      </c>
      <c r="H151">
        <v>0.15</v>
      </c>
    </row>
    <row r="152" spans="1:9" x14ac:dyDescent="0.2">
      <c r="A152" t="s">
        <v>190</v>
      </c>
      <c r="B152" s="1">
        <v>45703</v>
      </c>
      <c r="C152" t="s">
        <v>78</v>
      </c>
      <c r="D152" t="s">
        <v>11</v>
      </c>
      <c r="E152" t="s">
        <v>56</v>
      </c>
      <c r="F152">
        <v>1694.58</v>
      </c>
      <c r="G152">
        <v>2</v>
      </c>
      <c r="H152">
        <v>0.15</v>
      </c>
      <c r="I152">
        <v>1</v>
      </c>
    </row>
    <row r="153" spans="1:9" x14ac:dyDescent="0.2">
      <c r="A153" t="s">
        <v>191</v>
      </c>
      <c r="B153" s="1">
        <v>45879</v>
      </c>
      <c r="C153" t="s">
        <v>50</v>
      </c>
      <c r="D153" t="s">
        <v>11</v>
      </c>
      <c r="E153" t="s">
        <v>56</v>
      </c>
      <c r="F153">
        <v>1141.1099999999999</v>
      </c>
      <c r="G153">
        <v>3</v>
      </c>
      <c r="H153">
        <v>0.15</v>
      </c>
      <c r="I153">
        <v>4</v>
      </c>
    </row>
    <row r="154" spans="1:9" x14ac:dyDescent="0.2">
      <c r="A154" t="s">
        <v>192</v>
      </c>
      <c r="B154" s="1">
        <v>45746</v>
      </c>
      <c r="C154" t="s">
        <v>24</v>
      </c>
      <c r="D154" t="s">
        <v>15</v>
      </c>
      <c r="E154" t="s">
        <v>12</v>
      </c>
      <c r="F154">
        <v>437.23</v>
      </c>
      <c r="G154">
        <v>1</v>
      </c>
      <c r="H154">
        <v>0</v>
      </c>
      <c r="I154">
        <v>5</v>
      </c>
    </row>
    <row r="155" spans="1:9" x14ac:dyDescent="0.2">
      <c r="A155" t="s">
        <v>193</v>
      </c>
      <c r="B155" s="1">
        <v>45739</v>
      </c>
      <c r="C155" t="s">
        <v>20</v>
      </c>
      <c r="D155" t="s">
        <v>21</v>
      </c>
      <c r="E155" t="s">
        <v>12</v>
      </c>
      <c r="F155">
        <v>1584.22</v>
      </c>
      <c r="G155">
        <v>3</v>
      </c>
      <c r="H155">
        <v>0.15</v>
      </c>
      <c r="I155">
        <v>5</v>
      </c>
    </row>
    <row r="156" spans="1:9" x14ac:dyDescent="0.2">
      <c r="A156" t="s">
        <v>194</v>
      </c>
      <c r="B156" s="1">
        <v>45834</v>
      </c>
      <c r="C156" t="s">
        <v>54</v>
      </c>
      <c r="D156" t="s">
        <v>15</v>
      </c>
      <c r="E156" t="s">
        <v>22</v>
      </c>
      <c r="F156">
        <v>271.27999999999997</v>
      </c>
      <c r="G156">
        <v>1</v>
      </c>
      <c r="H156">
        <v>0</v>
      </c>
      <c r="I156">
        <v>1</v>
      </c>
    </row>
    <row r="157" spans="1:9" x14ac:dyDescent="0.2">
      <c r="A157" t="s">
        <v>195</v>
      </c>
      <c r="B157" s="1">
        <v>45693</v>
      </c>
      <c r="C157" t="s">
        <v>17</v>
      </c>
      <c r="D157" t="s">
        <v>11</v>
      </c>
      <c r="E157" t="s">
        <v>56</v>
      </c>
      <c r="F157">
        <v>1287.98</v>
      </c>
      <c r="G157">
        <v>10</v>
      </c>
      <c r="H157">
        <v>0</v>
      </c>
      <c r="I157">
        <v>4</v>
      </c>
    </row>
    <row r="158" spans="1:9" x14ac:dyDescent="0.2">
      <c r="A158" t="s">
        <v>196</v>
      </c>
      <c r="B158" s="1">
        <v>45894</v>
      </c>
      <c r="C158" t="s">
        <v>37</v>
      </c>
      <c r="D158" t="s">
        <v>11</v>
      </c>
      <c r="E158" t="s">
        <v>56</v>
      </c>
      <c r="F158">
        <v>1194.21</v>
      </c>
      <c r="G158">
        <v>1</v>
      </c>
      <c r="H158">
        <v>0</v>
      </c>
      <c r="I158">
        <v>5</v>
      </c>
    </row>
    <row r="159" spans="1:9" x14ac:dyDescent="0.2">
      <c r="A159" t="s">
        <v>197</v>
      </c>
      <c r="B159" s="1">
        <v>45853</v>
      </c>
      <c r="C159" t="s">
        <v>29</v>
      </c>
      <c r="D159" t="s">
        <v>15</v>
      </c>
      <c r="E159" t="s">
        <v>12</v>
      </c>
      <c r="F159">
        <v>364.99</v>
      </c>
      <c r="G159">
        <v>5</v>
      </c>
      <c r="H159">
        <v>0.2</v>
      </c>
      <c r="I159">
        <v>3</v>
      </c>
    </row>
    <row r="160" spans="1:9" x14ac:dyDescent="0.2">
      <c r="A160" t="s">
        <v>198</v>
      </c>
      <c r="B160" s="1">
        <v>45924</v>
      </c>
      <c r="C160" t="s">
        <v>43</v>
      </c>
      <c r="D160" t="s">
        <v>15</v>
      </c>
      <c r="E160" t="s">
        <v>39</v>
      </c>
      <c r="F160">
        <v>306.26</v>
      </c>
      <c r="G160">
        <v>5</v>
      </c>
      <c r="H160">
        <v>0.15</v>
      </c>
      <c r="I160">
        <v>2</v>
      </c>
    </row>
    <row r="161" spans="1:9" x14ac:dyDescent="0.2">
      <c r="A161" t="s">
        <v>199</v>
      </c>
      <c r="B161" s="1">
        <v>46014</v>
      </c>
      <c r="C161" t="s">
        <v>37</v>
      </c>
      <c r="D161" t="s">
        <v>11</v>
      </c>
      <c r="E161" t="s">
        <v>22</v>
      </c>
      <c r="F161">
        <v>1400.57</v>
      </c>
      <c r="G161">
        <v>10</v>
      </c>
      <c r="H161">
        <v>0</v>
      </c>
      <c r="I161">
        <v>2</v>
      </c>
    </row>
    <row r="162" spans="1:9" x14ac:dyDescent="0.2">
      <c r="A162" t="s">
        <v>200</v>
      </c>
      <c r="B162" s="1">
        <v>45877</v>
      </c>
      <c r="C162" t="s">
        <v>50</v>
      </c>
      <c r="D162" t="s">
        <v>11</v>
      </c>
      <c r="E162" t="s">
        <v>30</v>
      </c>
      <c r="G162">
        <v>1</v>
      </c>
      <c r="H162">
        <v>0.15</v>
      </c>
      <c r="I162">
        <v>4</v>
      </c>
    </row>
    <row r="163" spans="1:9" x14ac:dyDescent="0.2">
      <c r="A163" t="s">
        <v>201</v>
      </c>
      <c r="B163" s="1">
        <v>45974</v>
      </c>
      <c r="C163" t="s">
        <v>17</v>
      </c>
      <c r="D163" t="s">
        <v>11</v>
      </c>
      <c r="E163" t="s">
        <v>39</v>
      </c>
      <c r="F163">
        <v>1182.1400000000001</v>
      </c>
      <c r="G163">
        <v>1</v>
      </c>
      <c r="H163">
        <v>0</v>
      </c>
      <c r="I163">
        <v>2</v>
      </c>
    </row>
    <row r="164" spans="1:9" x14ac:dyDescent="0.2">
      <c r="A164" t="s">
        <v>202</v>
      </c>
      <c r="B164" s="1">
        <v>45863</v>
      </c>
      <c r="C164" t="s">
        <v>50</v>
      </c>
      <c r="D164" t="s">
        <v>11</v>
      </c>
      <c r="E164" t="s">
        <v>47</v>
      </c>
      <c r="G164">
        <v>1</v>
      </c>
      <c r="H164">
        <v>0</v>
      </c>
      <c r="I164">
        <v>1</v>
      </c>
    </row>
    <row r="165" spans="1:9" x14ac:dyDescent="0.2">
      <c r="A165" t="s">
        <v>203</v>
      </c>
      <c r="B165" s="1">
        <v>45914</v>
      </c>
      <c r="C165" t="s">
        <v>14</v>
      </c>
      <c r="D165" t="s">
        <v>15</v>
      </c>
      <c r="E165" t="s">
        <v>30</v>
      </c>
      <c r="F165">
        <v>384.53</v>
      </c>
      <c r="G165">
        <v>1</v>
      </c>
      <c r="H165">
        <v>0.2</v>
      </c>
      <c r="I165">
        <v>5</v>
      </c>
    </row>
    <row r="166" spans="1:9" x14ac:dyDescent="0.2">
      <c r="A166" t="s">
        <v>204</v>
      </c>
      <c r="B166" s="1">
        <v>45967</v>
      </c>
      <c r="C166" t="s">
        <v>50</v>
      </c>
      <c r="D166" t="s">
        <v>11</v>
      </c>
      <c r="E166" t="s">
        <v>56</v>
      </c>
      <c r="F166">
        <v>1148.77</v>
      </c>
      <c r="G166">
        <v>1</v>
      </c>
      <c r="H166">
        <v>0.2</v>
      </c>
      <c r="I166">
        <v>5</v>
      </c>
    </row>
    <row r="167" spans="1:9" x14ac:dyDescent="0.2">
      <c r="A167" t="s">
        <v>205</v>
      </c>
      <c r="B167" s="1">
        <v>45844</v>
      </c>
      <c r="C167" t="s">
        <v>34</v>
      </c>
      <c r="D167" t="s">
        <v>11</v>
      </c>
      <c r="E167" t="s">
        <v>18</v>
      </c>
      <c r="F167">
        <v>571.26</v>
      </c>
      <c r="G167">
        <v>1</v>
      </c>
      <c r="H167">
        <v>0</v>
      </c>
      <c r="I167">
        <v>4</v>
      </c>
    </row>
    <row r="168" spans="1:9" x14ac:dyDescent="0.2">
      <c r="A168" t="s">
        <v>206</v>
      </c>
      <c r="B168" s="1">
        <v>45872</v>
      </c>
      <c r="C168" t="s">
        <v>20</v>
      </c>
      <c r="D168" t="s">
        <v>21</v>
      </c>
      <c r="E168" t="s">
        <v>22</v>
      </c>
      <c r="F168">
        <v>1431.22</v>
      </c>
      <c r="G168">
        <v>10</v>
      </c>
      <c r="H168">
        <v>0</v>
      </c>
      <c r="I168">
        <v>3</v>
      </c>
    </row>
    <row r="169" spans="1:9" x14ac:dyDescent="0.2">
      <c r="A169" t="s">
        <v>207</v>
      </c>
      <c r="B169" s="1">
        <v>46011</v>
      </c>
      <c r="C169" t="s">
        <v>37</v>
      </c>
      <c r="D169" t="s">
        <v>11</v>
      </c>
      <c r="E169" t="s">
        <v>47</v>
      </c>
      <c r="F169">
        <v>1223.92</v>
      </c>
      <c r="G169">
        <v>2</v>
      </c>
      <c r="H169">
        <v>0</v>
      </c>
      <c r="I169">
        <v>4</v>
      </c>
    </row>
    <row r="170" spans="1:9" x14ac:dyDescent="0.2">
      <c r="A170" t="s">
        <v>208</v>
      </c>
      <c r="B170" s="1">
        <v>45819</v>
      </c>
      <c r="C170" t="s">
        <v>32</v>
      </c>
      <c r="D170" t="s">
        <v>21</v>
      </c>
      <c r="E170" t="s">
        <v>30</v>
      </c>
      <c r="F170">
        <v>1942</v>
      </c>
      <c r="G170">
        <v>10</v>
      </c>
      <c r="H170">
        <v>0.15</v>
      </c>
      <c r="I170">
        <v>1</v>
      </c>
    </row>
    <row r="171" spans="1:9" x14ac:dyDescent="0.2">
      <c r="A171" t="s">
        <v>209</v>
      </c>
      <c r="B171" s="1">
        <v>45776</v>
      </c>
      <c r="C171" t="s">
        <v>32</v>
      </c>
      <c r="D171" t="s">
        <v>21</v>
      </c>
      <c r="E171" t="s">
        <v>30</v>
      </c>
      <c r="F171">
        <v>1773.2</v>
      </c>
      <c r="G171">
        <v>5</v>
      </c>
      <c r="H171">
        <v>0.2</v>
      </c>
      <c r="I171">
        <v>3</v>
      </c>
    </row>
    <row r="172" spans="1:9" x14ac:dyDescent="0.2">
      <c r="A172" t="s">
        <v>210</v>
      </c>
      <c r="B172" s="1">
        <v>45794</v>
      </c>
      <c r="C172" t="s">
        <v>78</v>
      </c>
      <c r="D172" t="s">
        <v>11</v>
      </c>
      <c r="E172" t="s">
        <v>47</v>
      </c>
      <c r="F172">
        <v>1226.6199999999999</v>
      </c>
      <c r="G172">
        <v>3</v>
      </c>
      <c r="H172">
        <v>0</v>
      </c>
      <c r="I172">
        <v>4</v>
      </c>
    </row>
    <row r="173" spans="1:9" x14ac:dyDescent="0.2">
      <c r="A173" t="s">
        <v>211</v>
      </c>
      <c r="B173" s="1">
        <v>45853</v>
      </c>
      <c r="C173" t="s">
        <v>37</v>
      </c>
      <c r="D173" t="s">
        <v>11</v>
      </c>
      <c r="E173" t="s">
        <v>30</v>
      </c>
      <c r="F173">
        <v>2124.66</v>
      </c>
      <c r="G173">
        <v>3</v>
      </c>
      <c r="H173">
        <v>0.15</v>
      </c>
      <c r="I173">
        <v>4</v>
      </c>
    </row>
    <row r="174" spans="1:9" x14ac:dyDescent="0.2">
      <c r="A174" t="s">
        <v>212</v>
      </c>
      <c r="B174" s="1">
        <v>45815</v>
      </c>
      <c r="C174" t="s">
        <v>41</v>
      </c>
      <c r="D174" t="s">
        <v>11</v>
      </c>
      <c r="E174" t="s">
        <v>56</v>
      </c>
      <c r="F174">
        <v>861.97</v>
      </c>
      <c r="G174">
        <v>5</v>
      </c>
      <c r="H174">
        <v>0.1</v>
      </c>
      <c r="I174">
        <v>5</v>
      </c>
    </row>
    <row r="175" spans="1:9" x14ac:dyDescent="0.2">
      <c r="A175" t="s">
        <v>213</v>
      </c>
      <c r="B175" s="1">
        <v>45839</v>
      </c>
      <c r="C175" t="s">
        <v>41</v>
      </c>
      <c r="D175" t="s">
        <v>11</v>
      </c>
      <c r="E175" t="s">
        <v>39</v>
      </c>
      <c r="F175">
        <v>1202.46</v>
      </c>
      <c r="G175">
        <v>1</v>
      </c>
      <c r="H175">
        <v>0.1</v>
      </c>
      <c r="I175">
        <v>1</v>
      </c>
    </row>
    <row r="176" spans="1:9" x14ac:dyDescent="0.2">
      <c r="A176" t="s">
        <v>214</v>
      </c>
      <c r="B176" s="1">
        <v>45784</v>
      </c>
      <c r="C176" t="s">
        <v>41</v>
      </c>
      <c r="D176" t="s">
        <v>11</v>
      </c>
      <c r="E176" t="s">
        <v>30</v>
      </c>
      <c r="F176">
        <v>963.43</v>
      </c>
      <c r="G176">
        <v>10</v>
      </c>
      <c r="H176">
        <v>0</v>
      </c>
      <c r="I176">
        <v>3</v>
      </c>
    </row>
    <row r="177" spans="1:9" x14ac:dyDescent="0.2">
      <c r="A177" t="s">
        <v>215</v>
      </c>
      <c r="B177" s="1">
        <v>45696</v>
      </c>
      <c r="C177" t="s">
        <v>26</v>
      </c>
      <c r="D177" t="s">
        <v>27</v>
      </c>
      <c r="E177" t="s">
        <v>12</v>
      </c>
      <c r="F177">
        <v>607.11</v>
      </c>
      <c r="G177">
        <v>1</v>
      </c>
      <c r="H177">
        <v>0</v>
      </c>
      <c r="I177">
        <v>4</v>
      </c>
    </row>
    <row r="178" spans="1:9" x14ac:dyDescent="0.2">
      <c r="A178" t="s">
        <v>216</v>
      </c>
      <c r="B178" s="1">
        <v>45843</v>
      </c>
      <c r="C178" t="s">
        <v>41</v>
      </c>
      <c r="D178" t="s">
        <v>11</v>
      </c>
      <c r="E178" t="s">
        <v>39</v>
      </c>
      <c r="F178">
        <v>1055.95</v>
      </c>
      <c r="G178">
        <v>1</v>
      </c>
      <c r="H178">
        <v>0.1</v>
      </c>
      <c r="I178">
        <v>2</v>
      </c>
    </row>
    <row r="179" spans="1:9" x14ac:dyDescent="0.2">
      <c r="A179" t="s">
        <v>217</v>
      </c>
      <c r="B179" s="1">
        <v>45886</v>
      </c>
      <c r="C179" t="s">
        <v>43</v>
      </c>
      <c r="D179" t="s">
        <v>15</v>
      </c>
      <c r="E179" t="s">
        <v>18</v>
      </c>
      <c r="G179">
        <v>1</v>
      </c>
      <c r="H179">
        <v>0</v>
      </c>
      <c r="I179">
        <v>4</v>
      </c>
    </row>
    <row r="180" spans="1:9" x14ac:dyDescent="0.2">
      <c r="A180" t="s">
        <v>218</v>
      </c>
      <c r="B180" s="1">
        <v>46020</v>
      </c>
      <c r="C180" t="s">
        <v>43</v>
      </c>
      <c r="D180" t="s">
        <v>15</v>
      </c>
      <c r="E180" t="s">
        <v>12</v>
      </c>
      <c r="F180">
        <v>342.14</v>
      </c>
      <c r="G180">
        <v>1</v>
      </c>
      <c r="H180">
        <v>0.1</v>
      </c>
      <c r="I180">
        <v>1</v>
      </c>
    </row>
    <row r="181" spans="1:9" x14ac:dyDescent="0.2">
      <c r="A181" t="s">
        <v>219</v>
      </c>
      <c r="B181" s="1">
        <v>45952</v>
      </c>
      <c r="C181" t="s">
        <v>26</v>
      </c>
      <c r="D181" t="s">
        <v>27</v>
      </c>
      <c r="E181" t="s">
        <v>39</v>
      </c>
      <c r="F181">
        <v>571.85</v>
      </c>
      <c r="G181">
        <v>2</v>
      </c>
      <c r="H181">
        <v>0.2</v>
      </c>
      <c r="I181">
        <v>5</v>
      </c>
    </row>
    <row r="182" spans="1:9" x14ac:dyDescent="0.2">
      <c r="A182" t="s">
        <v>220</v>
      </c>
      <c r="B182" s="1">
        <v>45941</v>
      </c>
      <c r="C182" t="s">
        <v>17</v>
      </c>
      <c r="D182" t="s">
        <v>11</v>
      </c>
      <c r="E182" t="s">
        <v>18</v>
      </c>
      <c r="F182">
        <v>1069.3499999999999</v>
      </c>
      <c r="G182">
        <v>1</v>
      </c>
      <c r="H182">
        <v>0.2</v>
      </c>
      <c r="I182">
        <v>2</v>
      </c>
    </row>
    <row r="183" spans="1:9" x14ac:dyDescent="0.2">
      <c r="A183" t="s">
        <v>221</v>
      </c>
      <c r="B183" s="1">
        <v>46016</v>
      </c>
      <c r="C183" t="s">
        <v>29</v>
      </c>
      <c r="D183" t="s">
        <v>15</v>
      </c>
      <c r="E183" t="s">
        <v>39</v>
      </c>
      <c r="F183">
        <v>372.59</v>
      </c>
      <c r="G183">
        <v>1</v>
      </c>
      <c r="H183">
        <v>0</v>
      </c>
    </row>
    <row r="184" spans="1:9" x14ac:dyDescent="0.2">
      <c r="A184" t="s">
        <v>222</v>
      </c>
      <c r="B184" s="1">
        <v>45784</v>
      </c>
      <c r="C184" t="s">
        <v>10</v>
      </c>
      <c r="D184" t="s">
        <v>11</v>
      </c>
      <c r="E184" t="s">
        <v>30</v>
      </c>
      <c r="F184">
        <v>1381.68</v>
      </c>
      <c r="G184">
        <v>2</v>
      </c>
      <c r="H184">
        <v>0.2</v>
      </c>
      <c r="I184">
        <v>2</v>
      </c>
    </row>
    <row r="185" spans="1:9" x14ac:dyDescent="0.2">
      <c r="A185" t="s">
        <v>223</v>
      </c>
      <c r="B185" s="1">
        <v>45727</v>
      </c>
      <c r="C185" t="s">
        <v>54</v>
      </c>
      <c r="D185" t="s">
        <v>15</v>
      </c>
      <c r="E185" t="s">
        <v>30</v>
      </c>
      <c r="F185">
        <v>284.20999999999998</v>
      </c>
      <c r="G185">
        <v>5</v>
      </c>
      <c r="H185">
        <v>0</v>
      </c>
      <c r="I185">
        <v>5</v>
      </c>
    </row>
    <row r="186" spans="1:9" x14ac:dyDescent="0.2">
      <c r="A186" t="s">
        <v>224</v>
      </c>
      <c r="B186" s="1">
        <v>45739</v>
      </c>
      <c r="C186" t="s">
        <v>20</v>
      </c>
      <c r="D186" t="s">
        <v>21</v>
      </c>
      <c r="E186" t="s">
        <v>12</v>
      </c>
      <c r="F186">
        <v>1035.4000000000001</v>
      </c>
      <c r="G186">
        <v>10</v>
      </c>
      <c r="H186">
        <v>0.15</v>
      </c>
      <c r="I186">
        <v>5</v>
      </c>
    </row>
    <row r="187" spans="1:9" x14ac:dyDescent="0.2">
      <c r="A187" t="s">
        <v>225</v>
      </c>
      <c r="B187" s="1">
        <v>45781</v>
      </c>
      <c r="C187" t="s">
        <v>32</v>
      </c>
      <c r="D187" t="s">
        <v>21</v>
      </c>
      <c r="E187" t="s">
        <v>47</v>
      </c>
      <c r="F187">
        <v>2133.42</v>
      </c>
      <c r="G187">
        <v>5</v>
      </c>
      <c r="H187">
        <v>0.2</v>
      </c>
    </row>
    <row r="188" spans="1:9" x14ac:dyDescent="0.2">
      <c r="A188" t="s">
        <v>226</v>
      </c>
      <c r="B188" s="1">
        <v>45730</v>
      </c>
      <c r="C188" t="s">
        <v>41</v>
      </c>
      <c r="D188" t="s">
        <v>11</v>
      </c>
      <c r="E188" t="s">
        <v>39</v>
      </c>
      <c r="F188">
        <v>1441.51</v>
      </c>
      <c r="G188">
        <v>3</v>
      </c>
      <c r="H188">
        <v>0</v>
      </c>
      <c r="I188">
        <v>5</v>
      </c>
    </row>
    <row r="189" spans="1:9" x14ac:dyDescent="0.2">
      <c r="A189" t="s">
        <v>227</v>
      </c>
      <c r="B189" s="1">
        <v>45731</v>
      </c>
      <c r="C189" t="s">
        <v>34</v>
      </c>
      <c r="D189" t="s">
        <v>11</v>
      </c>
      <c r="E189" t="s">
        <v>30</v>
      </c>
      <c r="F189">
        <v>1185.71</v>
      </c>
      <c r="G189">
        <v>5</v>
      </c>
      <c r="H189">
        <v>0</v>
      </c>
      <c r="I189">
        <v>3</v>
      </c>
    </row>
    <row r="190" spans="1:9" x14ac:dyDescent="0.2">
      <c r="A190" t="s">
        <v>228</v>
      </c>
      <c r="B190" s="1">
        <v>45827</v>
      </c>
      <c r="C190" t="s">
        <v>43</v>
      </c>
      <c r="D190" t="s">
        <v>15</v>
      </c>
      <c r="E190" t="s">
        <v>30</v>
      </c>
      <c r="F190">
        <v>392.99</v>
      </c>
      <c r="G190">
        <v>1</v>
      </c>
      <c r="H190">
        <v>0.1</v>
      </c>
      <c r="I190">
        <v>5</v>
      </c>
    </row>
    <row r="191" spans="1:9" x14ac:dyDescent="0.2">
      <c r="A191" t="s">
        <v>229</v>
      </c>
      <c r="B191" s="1">
        <v>45680</v>
      </c>
      <c r="C191" t="s">
        <v>41</v>
      </c>
      <c r="D191" t="s">
        <v>11</v>
      </c>
      <c r="E191" t="s">
        <v>18</v>
      </c>
      <c r="F191">
        <v>1286.73</v>
      </c>
      <c r="G191">
        <v>1</v>
      </c>
      <c r="H191">
        <v>0</v>
      </c>
      <c r="I191">
        <v>3</v>
      </c>
    </row>
    <row r="192" spans="1:9" x14ac:dyDescent="0.2">
      <c r="A192" t="s">
        <v>230</v>
      </c>
      <c r="B192" s="1">
        <v>45729</v>
      </c>
      <c r="C192" t="s">
        <v>32</v>
      </c>
      <c r="D192" t="s">
        <v>21</v>
      </c>
      <c r="E192" t="s">
        <v>47</v>
      </c>
      <c r="F192">
        <v>1806.63</v>
      </c>
      <c r="G192">
        <v>2</v>
      </c>
      <c r="H192">
        <v>0</v>
      </c>
      <c r="I192">
        <v>1</v>
      </c>
    </row>
    <row r="193" spans="1:9" x14ac:dyDescent="0.2">
      <c r="A193" t="s">
        <v>231</v>
      </c>
      <c r="B193" s="1">
        <v>46021</v>
      </c>
      <c r="C193" t="s">
        <v>43</v>
      </c>
      <c r="D193" t="s">
        <v>15</v>
      </c>
      <c r="E193" t="s">
        <v>56</v>
      </c>
      <c r="F193">
        <v>270.92</v>
      </c>
      <c r="G193">
        <v>1</v>
      </c>
      <c r="H193">
        <v>0</v>
      </c>
      <c r="I193">
        <v>5</v>
      </c>
    </row>
    <row r="194" spans="1:9" x14ac:dyDescent="0.2">
      <c r="A194" t="s">
        <v>232</v>
      </c>
      <c r="B194" s="1">
        <v>45688</v>
      </c>
      <c r="C194" t="s">
        <v>37</v>
      </c>
      <c r="D194" t="s">
        <v>11</v>
      </c>
      <c r="E194" t="s">
        <v>39</v>
      </c>
      <c r="F194">
        <v>1015.84</v>
      </c>
      <c r="G194">
        <v>1</v>
      </c>
      <c r="H194">
        <v>0.1</v>
      </c>
      <c r="I194">
        <v>5</v>
      </c>
    </row>
    <row r="195" spans="1:9" x14ac:dyDescent="0.2">
      <c r="A195" t="s">
        <v>233</v>
      </c>
      <c r="B195" s="1">
        <v>45753</v>
      </c>
      <c r="C195" t="s">
        <v>32</v>
      </c>
      <c r="D195" t="s">
        <v>21</v>
      </c>
      <c r="E195" t="s">
        <v>56</v>
      </c>
      <c r="F195">
        <v>1897.36</v>
      </c>
      <c r="G195">
        <v>5</v>
      </c>
      <c r="H195">
        <v>0.1</v>
      </c>
    </row>
    <row r="196" spans="1:9" x14ac:dyDescent="0.2">
      <c r="A196" t="s">
        <v>234</v>
      </c>
      <c r="B196" s="1">
        <v>45814</v>
      </c>
      <c r="C196" t="s">
        <v>50</v>
      </c>
      <c r="D196" t="s">
        <v>11</v>
      </c>
      <c r="E196" t="s">
        <v>12</v>
      </c>
      <c r="F196">
        <v>758.19</v>
      </c>
      <c r="G196">
        <v>2</v>
      </c>
      <c r="H196">
        <v>0.1</v>
      </c>
      <c r="I196">
        <v>5</v>
      </c>
    </row>
    <row r="197" spans="1:9" x14ac:dyDescent="0.2">
      <c r="A197" t="s">
        <v>235</v>
      </c>
      <c r="B197" s="1">
        <v>45845</v>
      </c>
      <c r="C197" t="s">
        <v>26</v>
      </c>
      <c r="D197" t="s">
        <v>27</v>
      </c>
      <c r="E197" t="s">
        <v>18</v>
      </c>
      <c r="F197">
        <v>825.14</v>
      </c>
      <c r="G197">
        <v>5</v>
      </c>
      <c r="H197">
        <v>0</v>
      </c>
      <c r="I197">
        <v>1</v>
      </c>
    </row>
    <row r="198" spans="1:9" x14ac:dyDescent="0.2">
      <c r="A198" t="s">
        <v>236</v>
      </c>
      <c r="B198" s="1">
        <v>45790</v>
      </c>
      <c r="C198" t="s">
        <v>41</v>
      </c>
      <c r="D198" t="s">
        <v>11</v>
      </c>
      <c r="E198" t="s">
        <v>47</v>
      </c>
      <c r="F198">
        <v>1190.97</v>
      </c>
      <c r="G198">
        <v>3</v>
      </c>
      <c r="H198">
        <v>0.2</v>
      </c>
      <c r="I198">
        <v>2</v>
      </c>
    </row>
    <row r="199" spans="1:9" x14ac:dyDescent="0.2">
      <c r="A199" t="s">
        <v>237</v>
      </c>
      <c r="B199" s="1">
        <v>45999</v>
      </c>
      <c r="C199" t="s">
        <v>14</v>
      </c>
      <c r="D199" t="s">
        <v>15</v>
      </c>
      <c r="E199" t="s">
        <v>18</v>
      </c>
      <c r="F199">
        <v>284.35000000000002</v>
      </c>
      <c r="G199">
        <v>1</v>
      </c>
      <c r="H199">
        <v>0.1</v>
      </c>
      <c r="I199">
        <v>4</v>
      </c>
    </row>
    <row r="200" spans="1:9" x14ac:dyDescent="0.2">
      <c r="A200" t="s">
        <v>238</v>
      </c>
      <c r="B200" s="1">
        <v>45688</v>
      </c>
      <c r="C200" t="s">
        <v>29</v>
      </c>
      <c r="D200" t="s">
        <v>15</v>
      </c>
      <c r="F200">
        <v>260.63</v>
      </c>
      <c r="G200">
        <v>1</v>
      </c>
      <c r="H200">
        <v>0</v>
      </c>
      <c r="I200">
        <v>5</v>
      </c>
    </row>
    <row r="201" spans="1:9" x14ac:dyDescent="0.2">
      <c r="A201" t="s">
        <v>239</v>
      </c>
      <c r="B201" s="1">
        <v>45994</v>
      </c>
      <c r="C201" t="s">
        <v>32</v>
      </c>
      <c r="D201" t="s">
        <v>21</v>
      </c>
      <c r="E201" t="s">
        <v>39</v>
      </c>
      <c r="F201">
        <v>1513.12</v>
      </c>
      <c r="G201">
        <v>5</v>
      </c>
      <c r="H201">
        <v>0.1</v>
      </c>
      <c r="I201">
        <v>1</v>
      </c>
    </row>
    <row r="202" spans="1:9" x14ac:dyDescent="0.2">
      <c r="A202" t="s">
        <v>240</v>
      </c>
      <c r="B202" s="1">
        <v>45760</v>
      </c>
      <c r="C202" t="s">
        <v>34</v>
      </c>
      <c r="D202" t="s">
        <v>11</v>
      </c>
      <c r="E202" t="s">
        <v>12</v>
      </c>
      <c r="F202">
        <v>1434.03</v>
      </c>
      <c r="G202">
        <v>1</v>
      </c>
      <c r="H202">
        <v>0</v>
      </c>
      <c r="I202">
        <v>4</v>
      </c>
    </row>
    <row r="203" spans="1:9" x14ac:dyDescent="0.2">
      <c r="A203" t="s">
        <v>241</v>
      </c>
      <c r="B203" s="1">
        <v>45997</v>
      </c>
      <c r="C203" t="s">
        <v>34</v>
      </c>
      <c r="D203" t="s">
        <v>11</v>
      </c>
      <c r="E203" t="s">
        <v>47</v>
      </c>
      <c r="F203">
        <v>1206.26</v>
      </c>
      <c r="G203">
        <v>3</v>
      </c>
      <c r="H203">
        <v>0.15</v>
      </c>
      <c r="I203">
        <v>4</v>
      </c>
    </row>
    <row r="204" spans="1:9" x14ac:dyDescent="0.2">
      <c r="A204" t="s">
        <v>242</v>
      </c>
      <c r="B204" s="1">
        <v>45750</v>
      </c>
      <c r="C204" t="s">
        <v>26</v>
      </c>
      <c r="D204" t="s">
        <v>27</v>
      </c>
      <c r="E204" t="s">
        <v>18</v>
      </c>
      <c r="G204">
        <v>5</v>
      </c>
      <c r="H204">
        <v>0.2</v>
      </c>
      <c r="I204">
        <v>5</v>
      </c>
    </row>
    <row r="205" spans="1:9" x14ac:dyDescent="0.2">
      <c r="A205" t="s">
        <v>243</v>
      </c>
      <c r="B205" s="1">
        <v>45869</v>
      </c>
      <c r="C205" t="s">
        <v>17</v>
      </c>
      <c r="D205" t="s">
        <v>11</v>
      </c>
      <c r="E205" t="s">
        <v>18</v>
      </c>
      <c r="F205">
        <v>1244.3599999999999</v>
      </c>
      <c r="G205">
        <v>1</v>
      </c>
      <c r="H205">
        <v>0</v>
      </c>
      <c r="I205">
        <v>3</v>
      </c>
    </row>
    <row r="206" spans="1:9" x14ac:dyDescent="0.2">
      <c r="A206" t="s">
        <v>244</v>
      </c>
      <c r="B206" s="1">
        <v>45993</v>
      </c>
      <c r="C206" t="s">
        <v>50</v>
      </c>
      <c r="D206" t="s">
        <v>11</v>
      </c>
      <c r="E206" t="s">
        <v>30</v>
      </c>
      <c r="F206">
        <v>902.92</v>
      </c>
      <c r="G206">
        <v>1</v>
      </c>
      <c r="H206">
        <v>0</v>
      </c>
      <c r="I206">
        <v>5</v>
      </c>
    </row>
    <row r="207" spans="1:9" x14ac:dyDescent="0.2">
      <c r="A207" t="s">
        <v>245</v>
      </c>
      <c r="B207" s="1">
        <v>45954</v>
      </c>
      <c r="C207" t="s">
        <v>43</v>
      </c>
      <c r="D207" t="s">
        <v>15</v>
      </c>
      <c r="E207" t="s">
        <v>39</v>
      </c>
      <c r="F207">
        <v>436.65</v>
      </c>
      <c r="G207">
        <v>2</v>
      </c>
      <c r="H207">
        <v>0.2</v>
      </c>
      <c r="I207">
        <v>1</v>
      </c>
    </row>
    <row r="208" spans="1:9" x14ac:dyDescent="0.2">
      <c r="A208" t="s">
        <v>246</v>
      </c>
      <c r="B208" s="1">
        <v>45870</v>
      </c>
      <c r="C208" t="s">
        <v>17</v>
      </c>
      <c r="D208" t="s">
        <v>11</v>
      </c>
      <c r="E208" t="s">
        <v>22</v>
      </c>
      <c r="F208">
        <v>1193.6400000000001</v>
      </c>
      <c r="G208">
        <v>1</v>
      </c>
      <c r="H208">
        <v>0</v>
      </c>
      <c r="I208">
        <v>5</v>
      </c>
    </row>
    <row r="209" spans="1:9" x14ac:dyDescent="0.2">
      <c r="A209" t="s">
        <v>247</v>
      </c>
      <c r="B209" s="1">
        <v>46004</v>
      </c>
      <c r="C209" t="s">
        <v>78</v>
      </c>
      <c r="D209" t="s">
        <v>11</v>
      </c>
      <c r="E209" t="s">
        <v>56</v>
      </c>
      <c r="F209">
        <v>1327.15</v>
      </c>
      <c r="G209">
        <v>1</v>
      </c>
      <c r="H209">
        <v>0.2</v>
      </c>
      <c r="I209">
        <v>4</v>
      </c>
    </row>
    <row r="210" spans="1:9" x14ac:dyDescent="0.2">
      <c r="A210" t="s">
        <v>248</v>
      </c>
      <c r="B210" s="1">
        <v>45736</v>
      </c>
      <c r="C210" t="s">
        <v>41</v>
      </c>
      <c r="D210" t="s">
        <v>11</v>
      </c>
      <c r="E210" t="s">
        <v>56</v>
      </c>
      <c r="F210">
        <v>1216.21</v>
      </c>
      <c r="G210">
        <v>1</v>
      </c>
      <c r="H210">
        <v>0.2</v>
      </c>
      <c r="I210">
        <v>5</v>
      </c>
    </row>
    <row r="211" spans="1:9" x14ac:dyDescent="0.2">
      <c r="A211" t="s">
        <v>249</v>
      </c>
      <c r="B211" s="1">
        <v>45801</v>
      </c>
      <c r="C211" t="s">
        <v>34</v>
      </c>
      <c r="D211" t="s">
        <v>11</v>
      </c>
      <c r="E211" t="s">
        <v>56</v>
      </c>
      <c r="F211">
        <v>1192.1400000000001</v>
      </c>
      <c r="G211">
        <v>5</v>
      </c>
      <c r="H211">
        <v>0</v>
      </c>
      <c r="I211">
        <v>5</v>
      </c>
    </row>
    <row r="212" spans="1:9" x14ac:dyDescent="0.2">
      <c r="A212" t="s">
        <v>250</v>
      </c>
      <c r="B212" s="1">
        <v>45737</v>
      </c>
      <c r="C212" t="s">
        <v>54</v>
      </c>
      <c r="D212" t="s">
        <v>15</v>
      </c>
      <c r="E212" t="s">
        <v>47</v>
      </c>
      <c r="F212">
        <v>397.57</v>
      </c>
      <c r="G212">
        <v>5</v>
      </c>
      <c r="H212">
        <v>0.2</v>
      </c>
      <c r="I212">
        <v>2</v>
      </c>
    </row>
    <row r="213" spans="1:9" x14ac:dyDescent="0.2">
      <c r="A213" t="s">
        <v>251</v>
      </c>
      <c r="B213" s="1">
        <v>45705</v>
      </c>
      <c r="C213" t="s">
        <v>34</v>
      </c>
      <c r="D213" t="s">
        <v>11</v>
      </c>
      <c r="E213" t="s">
        <v>56</v>
      </c>
      <c r="F213">
        <v>1355.45</v>
      </c>
      <c r="G213">
        <v>2</v>
      </c>
      <c r="H213">
        <v>0</v>
      </c>
    </row>
    <row r="214" spans="1:9" x14ac:dyDescent="0.2">
      <c r="A214" t="s">
        <v>252</v>
      </c>
      <c r="B214" s="1">
        <v>45867</v>
      </c>
      <c r="C214" t="s">
        <v>20</v>
      </c>
      <c r="D214" t="s">
        <v>21</v>
      </c>
      <c r="E214" t="s">
        <v>18</v>
      </c>
      <c r="F214">
        <v>1490.99</v>
      </c>
      <c r="G214">
        <v>10</v>
      </c>
      <c r="H214">
        <v>0</v>
      </c>
      <c r="I214">
        <v>5</v>
      </c>
    </row>
    <row r="215" spans="1:9" x14ac:dyDescent="0.2">
      <c r="A215" t="s">
        <v>253</v>
      </c>
      <c r="B215" s="1">
        <v>45728</v>
      </c>
      <c r="C215" t="s">
        <v>43</v>
      </c>
      <c r="D215" t="s">
        <v>15</v>
      </c>
      <c r="E215" t="s">
        <v>30</v>
      </c>
      <c r="F215">
        <v>450.89</v>
      </c>
      <c r="G215">
        <v>-1</v>
      </c>
      <c r="H215">
        <v>0</v>
      </c>
      <c r="I215">
        <v>5</v>
      </c>
    </row>
    <row r="216" spans="1:9" x14ac:dyDescent="0.2">
      <c r="A216" t="s">
        <v>254</v>
      </c>
      <c r="B216" s="1">
        <v>45848</v>
      </c>
      <c r="C216" t="s">
        <v>26</v>
      </c>
      <c r="D216" t="s">
        <v>27</v>
      </c>
      <c r="E216" t="s">
        <v>18</v>
      </c>
      <c r="F216">
        <v>689.19</v>
      </c>
      <c r="G216">
        <v>1</v>
      </c>
      <c r="H216">
        <v>0</v>
      </c>
      <c r="I216">
        <v>4</v>
      </c>
    </row>
    <row r="217" spans="1:9" x14ac:dyDescent="0.2">
      <c r="A217" t="s">
        <v>255</v>
      </c>
      <c r="B217" s="1">
        <v>45934</v>
      </c>
      <c r="C217" t="s">
        <v>29</v>
      </c>
      <c r="D217" t="s">
        <v>15</v>
      </c>
      <c r="E217" t="s">
        <v>39</v>
      </c>
      <c r="F217">
        <v>414.68</v>
      </c>
      <c r="G217">
        <v>2</v>
      </c>
      <c r="H217">
        <v>0.2</v>
      </c>
      <c r="I217">
        <v>4</v>
      </c>
    </row>
    <row r="218" spans="1:9" x14ac:dyDescent="0.2">
      <c r="A218" t="s">
        <v>256</v>
      </c>
      <c r="B218" s="1">
        <v>45983</v>
      </c>
      <c r="C218" t="s">
        <v>54</v>
      </c>
      <c r="D218" t="s">
        <v>15</v>
      </c>
      <c r="E218" t="s">
        <v>18</v>
      </c>
      <c r="F218">
        <v>275.64</v>
      </c>
      <c r="G218">
        <v>10</v>
      </c>
      <c r="H218">
        <v>0.2</v>
      </c>
      <c r="I218">
        <v>3</v>
      </c>
    </row>
    <row r="219" spans="1:9" x14ac:dyDescent="0.2">
      <c r="A219" t="s">
        <v>257</v>
      </c>
      <c r="B219" s="1">
        <v>45704</v>
      </c>
      <c r="C219" t="s">
        <v>20</v>
      </c>
      <c r="D219" t="s">
        <v>21</v>
      </c>
      <c r="E219" t="s">
        <v>39</v>
      </c>
      <c r="F219">
        <v>1388.53</v>
      </c>
      <c r="G219">
        <v>5</v>
      </c>
      <c r="H219">
        <v>0</v>
      </c>
      <c r="I219">
        <v>2</v>
      </c>
    </row>
    <row r="220" spans="1:9" x14ac:dyDescent="0.2">
      <c r="A220" t="s">
        <v>258</v>
      </c>
      <c r="B220" s="1">
        <v>45906</v>
      </c>
      <c r="C220" t="s">
        <v>43</v>
      </c>
      <c r="D220" t="s">
        <v>15</v>
      </c>
      <c r="E220" t="s">
        <v>22</v>
      </c>
      <c r="F220">
        <v>371.11</v>
      </c>
      <c r="G220">
        <v>1</v>
      </c>
      <c r="H220">
        <v>0.1</v>
      </c>
      <c r="I220">
        <v>5</v>
      </c>
    </row>
    <row r="221" spans="1:9" x14ac:dyDescent="0.2">
      <c r="A221" t="s">
        <v>259</v>
      </c>
      <c r="B221" s="1">
        <v>45671</v>
      </c>
      <c r="C221" t="s">
        <v>20</v>
      </c>
      <c r="D221" t="s">
        <v>21</v>
      </c>
      <c r="E221" t="s">
        <v>56</v>
      </c>
      <c r="F221">
        <v>2108.7600000000002</v>
      </c>
      <c r="G221">
        <v>1</v>
      </c>
      <c r="H221">
        <v>0.1</v>
      </c>
    </row>
    <row r="222" spans="1:9" x14ac:dyDescent="0.2">
      <c r="A222" t="s">
        <v>260</v>
      </c>
      <c r="B222" s="1">
        <v>45885</v>
      </c>
      <c r="C222" t="s">
        <v>34</v>
      </c>
      <c r="D222" t="s">
        <v>11</v>
      </c>
      <c r="E222" t="s">
        <v>18</v>
      </c>
      <c r="F222">
        <v>1000.57</v>
      </c>
      <c r="G222">
        <v>3</v>
      </c>
      <c r="H222">
        <v>0</v>
      </c>
      <c r="I222">
        <v>2</v>
      </c>
    </row>
    <row r="223" spans="1:9" x14ac:dyDescent="0.2">
      <c r="A223" t="s">
        <v>261</v>
      </c>
      <c r="B223" s="1">
        <v>45899</v>
      </c>
      <c r="C223" t="s">
        <v>34</v>
      </c>
      <c r="D223" t="s">
        <v>11</v>
      </c>
      <c r="E223" t="s">
        <v>12</v>
      </c>
      <c r="F223">
        <v>1560.96</v>
      </c>
      <c r="G223">
        <v>3</v>
      </c>
      <c r="H223">
        <v>0.15</v>
      </c>
      <c r="I223">
        <v>4</v>
      </c>
    </row>
    <row r="224" spans="1:9" x14ac:dyDescent="0.2">
      <c r="A224" t="s">
        <v>262</v>
      </c>
      <c r="B224" s="1">
        <v>45951</v>
      </c>
      <c r="C224" t="s">
        <v>10</v>
      </c>
      <c r="D224" t="s">
        <v>11</v>
      </c>
      <c r="E224" t="s">
        <v>56</v>
      </c>
      <c r="F224">
        <v>1522.9</v>
      </c>
      <c r="G224">
        <v>1</v>
      </c>
      <c r="H224">
        <v>0</v>
      </c>
    </row>
    <row r="225" spans="1:9" x14ac:dyDescent="0.2">
      <c r="A225" t="s">
        <v>263</v>
      </c>
      <c r="B225" s="1">
        <v>45941</v>
      </c>
      <c r="C225" t="s">
        <v>34</v>
      </c>
      <c r="D225" t="s">
        <v>11</v>
      </c>
      <c r="E225" t="s">
        <v>39</v>
      </c>
      <c r="F225">
        <v>1525.5</v>
      </c>
      <c r="G225">
        <v>2</v>
      </c>
      <c r="H225">
        <v>0.2</v>
      </c>
      <c r="I225">
        <v>2</v>
      </c>
    </row>
    <row r="226" spans="1:9" x14ac:dyDescent="0.2">
      <c r="A226" t="s">
        <v>264</v>
      </c>
      <c r="B226" s="1">
        <v>45841</v>
      </c>
      <c r="C226" t="s">
        <v>32</v>
      </c>
      <c r="D226" t="s">
        <v>21</v>
      </c>
      <c r="E226" t="s">
        <v>56</v>
      </c>
      <c r="F226">
        <v>2106.88</v>
      </c>
      <c r="G226">
        <v>2</v>
      </c>
      <c r="H226">
        <v>0.15</v>
      </c>
      <c r="I226">
        <v>5</v>
      </c>
    </row>
    <row r="227" spans="1:9" x14ac:dyDescent="0.2">
      <c r="A227" t="s">
        <v>265</v>
      </c>
      <c r="B227" s="1">
        <v>45890</v>
      </c>
      <c r="C227" t="s">
        <v>43</v>
      </c>
      <c r="D227" t="s">
        <v>15</v>
      </c>
      <c r="E227" t="s">
        <v>12</v>
      </c>
      <c r="F227">
        <v>323.04000000000002</v>
      </c>
      <c r="G227">
        <v>2</v>
      </c>
      <c r="H227">
        <v>0.1</v>
      </c>
    </row>
    <row r="228" spans="1:9" x14ac:dyDescent="0.2">
      <c r="A228" t="s">
        <v>266</v>
      </c>
      <c r="B228" s="1">
        <v>45941</v>
      </c>
      <c r="C228" t="s">
        <v>34</v>
      </c>
      <c r="D228" t="s">
        <v>11</v>
      </c>
      <c r="E228" t="s">
        <v>18</v>
      </c>
      <c r="F228">
        <v>1324.64</v>
      </c>
      <c r="G228">
        <v>3</v>
      </c>
      <c r="H228">
        <v>0.1</v>
      </c>
    </row>
    <row r="229" spans="1:9" x14ac:dyDescent="0.2">
      <c r="A229" t="s">
        <v>267</v>
      </c>
      <c r="B229" s="1">
        <v>45826</v>
      </c>
      <c r="C229" t="s">
        <v>54</v>
      </c>
      <c r="D229" t="s">
        <v>15</v>
      </c>
      <c r="E229" t="s">
        <v>39</v>
      </c>
      <c r="F229">
        <v>291.97000000000003</v>
      </c>
      <c r="G229">
        <v>1</v>
      </c>
      <c r="H229">
        <v>0.2</v>
      </c>
    </row>
    <row r="230" spans="1:9" x14ac:dyDescent="0.2">
      <c r="A230" t="s">
        <v>268</v>
      </c>
      <c r="B230" s="1">
        <v>45780</v>
      </c>
      <c r="C230" t="s">
        <v>29</v>
      </c>
      <c r="D230" t="s">
        <v>15</v>
      </c>
      <c r="E230" t="s">
        <v>12</v>
      </c>
      <c r="F230">
        <v>521.20000000000005</v>
      </c>
      <c r="G230">
        <v>1</v>
      </c>
      <c r="H230">
        <v>0</v>
      </c>
      <c r="I230">
        <v>2</v>
      </c>
    </row>
    <row r="231" spans="1:9" x14ac:dyDescent="0.2">
      <c r="A231" t="s">
        <v>269</v>
      </c>
      <c r="B231" s="1">
        <v>45844</v>
      </c>
      <c r="C231" t="s">
        <v>34</v>
      </c>
      <c r="D231" t="s">
        <v>11</v>
      </c>
      <c r="E231" t="s">
        <v>22</v>
      </c>
      <c r="F231">
        <v>1058.02</v>
      </c>
      <c r="G231">
        <v>2</v>
      </c>
      <c r="H231">
        <v>0.1</v>
      </c>
      <c r="I231">
        <v>4</v>
      </c>
    </row>
    <row r="232" spans="1:9" x14ac:dyDescent="0.2">
      <c r="A232" t="s">
        <v>270</v>
      </c>
      <c r="B232" s="1">
        <v>45744</v>
      </c>
      <c r="C232" t="s">
        <v>43</v>
      </c>
      <c r="D232" t="s">
        <v>15</v>
      </c>
      <c r="E232" t="s">
        <v>30</v>
      </c>
      <c r="F232">
        <v>358.54</v>
      </c>
      <c r="G232">
        <v>1</v>
      </c>
      <c r="H232">
        <v>0.1</v>
      </c>
      <c r="I232">
        <v>2</v>
      </c>
    </row>
    <row r="233" spans="1:9" x14ac:dyDescent="0.2">
      <c r="A233" t="s">
        <v>271</v>
      </c>
      <c r="B233" s="1">
        <v>45989</v>
      </c>
      <c r="C233" t="s">
        <v>29</v>
      </c>
      <c r="D233" t="s">
        <v>15</v>
      </c>
      <c r="E233" t="s">
        <v>22</v>
      </c>
      <c r="F233">
        <v>282.45999999999998</v>
      </c>
      <c r="G233">
        <v>2</v>
      </c>
      <c r="H233">
        <v>0.2</v>
      </c>
      <c r="I233">
        <v>3</v>
      </c>
    </row>
    <row r="234" spans="1:9" x14ac:dyDescent="0.2">
      <c r="A234" t="s">
        <v>272</v>
      </c>
      <c r="B234" s="1">
        <v>45710</v>
      </c>
      <c r="C234" t="s">
        <v>43</v>
      </c>
      <c r="D234" t="s">
        <v>15</v>
      </c>
      <c r="E234" t="s">
        <v>30</v>
      </c>
      <c r="F234">
        <v>347.55</v>
      </c>
      <c r="G234">
        <v>5</v>
      </c>
      <c r="H234">
        <v>0.15</v>
      </c>
      <c r="I234">
        <v>4</v>
      </c>
    </row>
    <row r="235" spans="1:9" x14ac:dyDescent="0.2">
      <c r="A235" t="s">
        <v>273</v>
      </c>
      <c r="B235" s="1">
        <v>45974</v>
      </c>
      <c r="C235" t="s">
        <v>26</v>
      </c>
      <c r="D235" t="s">
        <v>27</v>
      </c>
      <c r="E235" t="s">
        <v>12</v>
      </c>
      <c r="F235">
        <v>614.08000000000004</v>
      </c>
      <c r="G235">
        <v>1</v>
      </c>
      <c r="H235">
        <v>0.15</v>
      </c>
      <c r="I235">
        <v>5</v>
      </c>
    </row>
    <row r="236" spans="1:9" x14ac:dyDescent="0.2">
      <c r="A236" t="s">
        <v>274</v>
      </c>
      <c r="B236" s="1">
        <v>45846</v>
      </c>
      <c r="C236" t="s">
        <v>37</v>
      </c>
      <c r="D236" t="s">
        <v>11</v>
      </c>
      <c r="E236" t="s">
        <v>18</v>
      </c>
      <c r="F236">
        <v>1449.01</v>
      </c>
      <c r="G236">
        <v>2</v>
      </c>
      <c r="H236">
        <v>0</v>
      </c>
      <c r="I236">
        <v>5</v>
      </c>
    </row>
    <row r="237" spans="1:9" x14ac:dyDescent="0.2">
      <c r="A237" t="s">
        <v>275</v>
      </c>
      <c r="B237" s="1">
        <v>45976</v>
      </c>
      <c r="C237" t="s">
        <v>78</v>
      </c>
      <c r="D237" t="s">
        <v>11</v>
      </c>
      <c r="E237" t="s">
        <v>12</v>
      </c>
      <c r="F237">
        <v>1702.17</v>
      </c>
      <c r="G237">
        <v>10</v>
      </c>
      <c r="H237">
        <v>0</v>
      </c>
      <c r="I237">
        <v>2</v>
      </c>
    </row>
    <row r="238" spans="1:9" x14ac:dyDescent="0.2">
      <c r="A238" t="s">
        <v>276</v>
      </c>
      <c r="B238" s="1">
        <v>45912</v>
      </c>
      <c r="C238" t="s">
        <v>10</v>
      </c>
      <c r="D238" t="s">
        <v>11</v>
      </c>
      <c r="E238" t="s">
        <v>56</v>
      </c>
      <c r="F238">
        <v>1348.96</v>
      </c>
      <c r="G238">
        <v>2</v>
      </c>
      <c r="H238">
        <v>0.15</v>
      </c>
      <c r="I238">
        <v>4</v>
      </c>
    </row>
    <row r="239" spans="1:9" x14ac:dyDescent="0.2">
      <c r="A239" t="s">
        <v>277</v>
      </c>
      <c r="B239" s="1">
        <v>45995</v>
      </c>
      <c r="C239" t="s">
        <v>20</v>
      </c>
      <c r="D239" t="s">
        <v>21</v>
      </c>
      <c r="E239" t="s">
        <v>56</v>
      </c>
      <c r="F239">
        <v>1928.56</v>
      </c>
      <c r="G239">
        <v>2</v>
      </c>
      <c r="H239">
        <v>0.1</v>
      </c>
      <c r="I239">
        <v>5</v>
      </c>
    </row>
    <row r="240" spans="1:9" x14ac:dyDescent="0.2">
      <c r="A240" t="s">
        <v>278</v>
      </c>
      <c r="B240" s="1">
        <v>45901</v>
      </c>
      <c r="C240" t="s">
        <v>50</v>
      </c>
      <c r="D240" t="s">
        <v>11</v>
      </c>
      <c r="E240" t="s">
        <v>30</v>
      </c>
      <c r="F240">
        <v>1250.6400000000001</v>
      </c>
      <c r="G240">
        <v>2</v>
      </c>
      <c r="H240">
        <v>0</v>
      </c>
      <c r="I240">
        <v>5</v>
      </c>
    </row>
    <row r="241" spans="1:9" x14ac:dyDescent="0.2">
      <c r="A241" t="s">
        <v>279</v>
      </c>
      <c r="B241" s="1">
        <v>45994</v>
      </c>
      <c r="C241" t="s">
        <v>43</v>
      </c>
      <c r="D241" t="s">
        <v>15</v>
      </c>
      <c r="E241" t="s">
        <v>39</v>
      </c>
      <c r="F241">
        <v>357.66</v>
      </c>
      <c r="G241">
        <v>1</v>
      </c>
      <c r="H241">
        <v>0</v>
      </c>
      <c r="I241">
        <v>1</v>
      </c>
    </row>
    <row r="242" spans="1:9" x14ac:dyDescent="0.2">
      <c r="A242" t="s">
        <v>280</v>
      </c>
      <c r="B242" s="1">
        <v>45843</v>
      </c>
      <c r="C242" t="s">
        <v>20</v>
      </c>
      <c r="D242" t="s">
        <v>21</v>
      </c>
      <c r="E242" t="s">
        <v>47</v>
      </c>
      <c r="F242">
        <v>2323.27</v>
      </c>
      <c r="G242">
        <v>10</v>
      </c>
      <c r="H242">
        <v>0.2</v>
      </c>
      <c r="I242">
        <v>5</v>
      </c>
    </row>
    <row r="243" spans="1:9" x14ac:dyDescent="0.2">
      <c r="A243" t="s">
        <v>281</v>
      </c>
      <c r="B243" s="1">
        <v>45948</v>
      </c>
      <c r="C243" t="s">
        <v>37</v>
      </c>
      <c r="D243" t="s">
        <v>11</v>
      </c>
      <c r="E243" t="s">
        <v>47</v>
      </c>
      <c r="F243">
        <v>1600.57</v>
      </c>
      <c r="G243">
        <v>1</v>
      </c>
      <c r="H243">
        <v>0.1</v>
      </c>
      <c r="I243">
        <v>3</v>
      </c>
    </row>
    <row r="244" spans="1:9" x14ac:dyDescent="0.2">
      <c r="A244" t="s">
        <v>282</v>
      </c>
      <c r="B244" s="1">
        <v>45941</v>
      </c>
      <c r="C244" t="s">
        <v>34</v>
      </c>
      <c r="D244" t="s">
        <v>11</v>
      </c>
      <c r="E244" t="s">
        <v>47</v>
      </c>
      <c r="F244">
        <v>729.68</v>
      </c>
      <c r="G244">
        <v>2</v>
      </c>
      <c r="H244">
        <v>0.15</v>
      </c>
      <c r="I244">
        <v>4</v>
      </c>
    </row>
    <row r="245" spans="1:9" x14ac:dyDescent="0.2">
      <c r="A245" t="s">
        <v>283</v>
      </c>
      <c r="B245" s="1">
        <v>45773</v>
      </c>
      <c r="C245" t="s">
        <v>78</v>
      </c>
      <c r="D245" t="s">
        <v>11</v>
      </c>
      <c r="E245" t="s">
        <v>18</v>
      </c>
      <c r="F245">
        <v>1262.6500000000001</v>
      </c>
      <c r="G245">
        <v>2</v>
      </c>
      <c r="H245">
        <v>0</v>
      </c>
      <c r="I245">
        <v>1</v>
      </c>
    </row>
    <row r="246" spans="1:9" x14ac:dyDescent="0.2">
      <c r="A246" t="s">
        <v>109</v>
      </c>
      <c r="B246" s="1">
        <v>45713</v>
      </c>
      <c r="C246" t="s">
        <v>17</v>
      </c>
      <c r="D246" t="s">
        <v>11</v>
      </c>
      <c r="E246" t="s">
        <v>47</v>
      </c>
      <c r="F246">
        <v>1321.2</v>
      </c>
      <c r="G246">
        <v>10</v>
      </c>
      <c r="H246">
        <v>0.15</v>
      </c>
      <c r="I246">
        <v>4</v>
      </c>
    </row>
    <row r="247" spans="1:9" x14ac:dyDescent="0.2">
      <c r="A247" t="s">
        <v>284</v>
      </c>
      <c r="B247" s="1">
        <v>45783</v>
      </c>
      <c r="C247" t="s">
        <v>54</v>
      </c>
      <c r="D247" t="s">
        <v>15</v>
      </c>
      <c r="E247" t="s">
        <v>30</v>
      </c>
      <c r="F247">
        <v>425.81</v>
      </c>
      <c r="G247">
        <v>5</v>
      </c>
      <c r="H247">
        <v>0.15</v>
      </c>
      <c r="I247">
        <v>3</v>
      </c>
    </row>
    <row r="248" spans="1:9" x14ac:dyDescent="0.2">
      <c r="A248" t="s">
        <v>285</v>
      </c>
      <c r="B248" s="1">
        <v>45931</v>
      </c>
      <c r="C248" t="s">
        <v>50</v>
      </c>
      <c r="D248" t="s">
        <v>11</v>
      </c>
      <c r="F248">
        <v>1353.26</v>
      </c>
      <c r="G248">
        <v>5</v>
      </c>
      <c r="H248">
        <v>0.15</v>
      </c>
      <c r="I248">
        <v>1</v>
      </c>
    </row>
    <row r="249" spans="1:9" x14ac:dyDescent="0.2">
      <c r="A249" t="s">
        <v>286</v>
      </c>
      <c r="B249" s="1">
        <v>45768</v>
      </c>
      <c r="C249" t="s">
        <v>20</v>
      </c>
      <c r="D249" t="s">
        <v>21</v>
      </c>
      <c r="E249" t="s">
        <v>47</v>
      </c>
      <c r="F249">
        <v>1070.95</v>
      </c>
      <c r="G249">
        <v>2</v>
      </c>
      <c r="H249">
        <v>0</v>
      </c>
      <c r="I249">
        <v>3</v>
      </c>
    </row>
    <row r="250" spans="1:9" x14ac:dyDescent="0.2">
      <c r="A250" t="s">
        <v>287</v>
      </c>
      <c r="B250" s="1">
        <v>45722</v>
      </c>
      <c r="C250" t="s">
        <v>29</v>
      </c>
      <c r="D250" t="s">
        <v>15</v>
      </c>
      <c r="E250" t="s">
        <v>47</v>
      </c>
      <c r="F250">
        <v>370.79</v>
      </c>
      <c r="G250">
        <v>2</v>
      </c>
      <c r="H250">
        <v>0</v>
      </c>
      <c r="I250">
        <v>1</v>
      </c>
    </row>
    <row r="251" spans="1:9" x14ac:dyDescent="0.2">
      <c r="A251" t="s">
        <v>288</v>
      </c>
      <c r="B251" s="1">
        <v>45972</v>
      </c>
      <c r="C251" t="s">
        <v>50</v>
      </c>
      <c r="D251" t="s">
        <v>11</v>
      </c>
      <c r="E251" t="s">
        <v>12</v>
      </c>
      <c r="F251">
        <v>1335.11</v>
      </c>
      <c r="G251">
        <v>5</v>
      </c>
      <c r="H251">
        <v>0</v>
      </c>
      <c r="I251">
        <v>1</v>
      </c>
    </row>
    <row r="252" spans="1:9" x14ac:dyDescent="0.2">
      <c r="A252" t="s">
        <v>289</v>
      </c>
      <c r="B252" s="1">
        <v>45868</v>
      </c>
      <c r="C252" t="s">
        <v>20</v>
      </c>
      <c r="D252" t="s">
        <v>21</v>
      </c>
      <c r="E252" t="s">
        <v>12</v>
      </c>
      <c r="F252">
        <v>2108.3000000000002</v>
      </c>
      <c r="G252">
        <v>1</v>
      </c>
      <c r="H252">
        <v>0</v>
      </c>
      <c r="I252">
        <v>5</v>
      </c>
    </row>
    <row r="253" spans="1:9" x14ac:dyDescent="0.2">
      <c r="A253" t="s">
        <v>290</v>
      </c>
      <c r="B253" s="1">
        <v>45845</v>
      </c>
      <c r="C253" t="s">
        <v>10</v>
      </c>
      <c r="D253" t="s">
        <v>11</v>
      </c>
      <c r="E253" t="s">
        <v>47</v>
      </c>
      <c r="F253">
        <v>1143.1600000000001</v>
      </c>
      <c r="G253">
        <v>2</v>
      </c>
      <c r="H253">
        <v>0</v>
      </c>
      <c r="I253">
        <v>4</v>
      </c>
    </row>
    <row r="254" spans="1:9" x14ac:dyDescent="0.2">
      <c r="A254" t="s">
        <v>291</v>
      </c>
      <c r="B254" s="1">
        <v>45665</v>
      </c>
      <c r="C254" t="s">
        <v>29</v>
      </c>
      <c r="D254" t="s">
        <v>15</v>
      </c>
      <c r="E254" t="s">
        <v>18</v>
      </c>
      <c r="F254">
        <v>430.45</v>
      </c>
      <c r="G254">
        <v>3</v>
      </c>
      <c r="H254">
        <v>0.15</v>
      </c>
      <c r="I254">
        <v>4</v>
      </c>
    </row>
    <row r="255" spans="1:9" x14ac:dyDescent="0.2">
      <c r="A255" t="s">
        <v>292</v>
      </c>
      <c r="B255" s="1">
        <v>45681</v>
      </c>
      <c r="C255" t="s">
        <v>50</v>
      </c>
      <c r="D255" t="s">
        <v>11</v>
      </c>
      <c r="E255" t="s">
        <v>56</v>
      </c>
      <c r="F255">
        <v>1360.72</v>
      </c>
      <c r="G255">
        <v>-1</v>
      </c>
      <c r="H255">
        <v>0</v>
      </c>
      <c r="I255">
        <v>2</v>
      </c>
    </row>
    <row r="256" spans="1:9" x14ac:dyDescent="0.2">
      <c r="A256" t="s">
        <v>293</v>
      </c>
      <c r="B256" s="1">
        <v>46006</v>
      </c>
      <c r="C256" t="s">
        <v>41</v>
      </c>
      <c r="D256" t="s">
        <v>11</v>
      </c>
      <c r="E256" t="s">
        <v>47</v>
      </c>
      <c r="F256">
        <v>984.38</v>
      </c>
      <c r="G256">
        <v>1</v>
      </c>
      <c r="H256">
        <v>0</v>
      </c>
      <c r="I256">
        <v>2</v>
      </c>
    </row>
    <row r="257" spans="1:9" x14ac:dyDescent="0.2">
      <c r="A257" t="s">
        <v>294</v>
      </c>
      <c r="B257" s="1">
        <v>45957</v>
      </c>
      <c r="C257" t="s">
        <v>34</v>
      </c>
      <c r="D257" t="s">
        <v>11</v>
      </c>
      <c r="E257" t="s">
        <v>56</v>
      </c>
      <c r="F257">
        <v>1447.44</v>
      </c>
      <c r="G257">
        <v>10</v>
      </c>
      <c r="H257">
        <v>0.15</v>
      </c>
    </row>
    <row r="258" spans="1:9" x14ac:dyDescent="0.2">
      <c r="A258" t="s">
        <v>295</v>
      </c>
      <c r="B258" s="1">
        <v>45813</v>
      </c>
      <c r="C258" t="s">
        <v>41</v>
      </c>
      <c r="D258" t="s">
        <v>11</v>
      </c>
      <c r="E258" t="s">
        <v>18</v>
      </c>
      <c r="F258">
        <v>1133.99</v>
      </c>
      <c r="G258">
        <v>1</v>
      </c>
      <c r="H258">
        <v>0</v>
      </c>
      <c r="I258">
        <v>4</v>
      </c>
    </row>
    <row r="259" spans="1:9" x14ac:dyDescent="0.2">
      <c r="A259" t="s">
        <v>296</v>
      </c>
      <c r="B259" s="1">
        <v>45672</v>
      </c>
      <c r="C259" t="s">
        <v>41</v>
      </c>
      <c r="D259" t="s">
        <v>11</v>
      </c>
      <c r="E259" t="s">
        <v>12</v>
      </c>
      <c r="F259">
        <v>1319.52</v>
      </c>
      <c r="G259">
        <v>1</v>
      </c>
      <c r="H259">
        <v>0</v>
      </c>
      <c r="I259">
        <v>4</v>
      </c>
    </row>
    <row r="260" spans="1:9" x14ac:dyDescent="0.2">
      <c r="A260" t="s">
        <v>297</v>
      </c>
      <c r="B260" s="1">
        <v>45771</v>
      </c>
      <c r="C260" t="s">
        <v>24</v>
      </c>
      <c r="D260" t="s">
        <v>15</v>
      </c>
      <c r="E260" t="s">
        <v>47</v>
      </c>
      <c r="F260">
        <v>355.19</v>
      </c>
      <c r="G260">
        <v>2</v>
      </c>
      <c r="H260">
        <v>0</v>
      </c>
      <c r="I260">
        <v>5</v>
      </c>
    </row>
    <row r="261" spans="1:9" x14ac:dyDescent="0.2">
      <c r="A261" t="s">
        <v>298</v>
      </c>
      <c r="B261" s="1">
        <v>45676</v>
      </c>
      <c r="C261" t="s">
        <v>54</v>
      </c>
      <c r="D261" t="s">
        <v>15</v>
      </c>
      <c r="E261" t="s">
        <v>39</v>
      </c>
      <c r="F261">
        <v>251.53</v>
      </c>
      <c r="G261">
        <v>2</v>
      </c>
      <c r="H261">
        <v>0</v>
      </c>
      <c r="I261">
        <v>4</v>
      </c>
    </row>
    <row r="262" spans="1:9" x14ac:dyDescent="0.2">
      <c r="A262" t="s">
        <v>299</v>
      </c>
      <c r="B262" s="1">
        <v>45708</v>
      </c>
      <c r="C262" t="s">
        <v>37</v>
      </c>
      <c r="D262" t="s">
        <v>11</v>
      </c>
      <c r="E262" t="s">
        <v>56</v>
      </c>
      <c r="F262">
        <v>1043.56</v>
      </c>
      <c r="G262">
        <v>2</v>
      </c>
      <c r="H262">
        <v>0</v>
      </c>
    </row>
    <row r="263" spans="1:9" x14ac:dyDescent="0.2">
      <c r="A263" t="s">
        <v>300</v>
      </c>
      <c r="B263" s="1">
        <v>45856</v>
      </c>
      <c r="C263" t="s">
        <v>17</v>
      </c>
      <c r="D263" t="s">
        <v>11</v>
      </c>
      <c r="F263">
        <v>1607.15</v>
      </c>
      <c r="G263">
        <v>5</v>
      </c>
      <c r="H263">
        <v>0.15</v>
      </c>
      <c r="I263">
        <v>5</v>
      </c>
    </row>
    <row r="264" spans="1:9" x14ac:dyDescent="0.2">
      <c r="A264" t="s">
        <v>301</v>
      </c>
      <c r="B264" s="1">
        <v>45722</v>
      </c>
      <c r="C264" t="s">
        <v>14</v>
      </c>
      <c r="D264" t="s">
        <v>15</v>
      </c>
      <c r="F264">
        <v>262.8</v>
      </c>
      <c r="G264">
        <v>3</v>
      </c>
      <c r="H264">
        <v>0</v>
      </c>
      <c r="I264">
        <v>5</v>
      </c>
    </row>
    <row r="265" spans="1:9" x14ac:dyDescent="0.2">
      <c r="A265" t="s">
        <v>302</v>
      </c>
      <c r="B265" s="1">
        <v>45947</v>
      </c>
      <c r="C265" t="s">
        <v>20</v>
      </c>
      <c r="D265" t="s">
        <v>21</v>
      </c>
      <c r="E265" t="s">
        <v>30</v>
      </c>
      <c r="F265">
        <v>2028.21</v>
      </c>
      <c r="G265">
        <v>2</v>
      </c>
      <c r="H265">
        <v>0</v>
      </c>
    </row>
    <row r="266" spans="1:9" x14ac:dyDescent="0.2">
      <c r="A266" t="s">
        <v>303</v>
      </c>
      <c r="B266" s="1">
        <v>45830</v>
      </c>
      <c r="C266" t="s">
        <v>50</v>
      </c>
      <c r="D266" t="s">
        <v>11</v>
      </c>
      <c r="E266" t="s">
        <v>56</v>
      </c>
      <c r="F266">
        <v>1505.17</v>
      </c>
      <c r="G266">
        <v>2</v>
      </c>
      <c r="H266">
        <v>0</v>
      </c>
      <c r="I266">
        <v>3</v>
      </c>
    </row>
    <row r="267" spans="1:9" x14ac:dyDescent="0.2">
      <c r="A267" t="s">
        <v>304</v>
      </c>
      <c r="B267" s="1">
        <v>45918</v>
      </c>
      <c r="C267" t="s">
        <v>32</v>
      </c>
      <c r="D267" t="s">
        <v>21</v>
      </c>
      <c r="E267" t="s">
        <v>56</v>
      </c>
      <c r="F267">
        <v>2135.2600000000002</v>
      </c>
      <c r="G267">
        <v>1</v>
      </c>
      <c r="H267">
        <v>0</v>
      </c>
      <c r="I267">
        <v>2</v>
      </c>
    </row>
    <row r="268" spans="1:9" x14ac:dyDescent="0.2">
      <c r="A268" t="s">
        <v>305</v>
      </c>
      <c r="B268" s="1">
        <v>46020</v>
      </c>
      <c r="C268" t="s">
        <v>32</v>
      </c>
      <c r="D268" t="s">
        <v>21</v>
      </c>
      <c r="E268" t="s">
        <v>47</v>
      </c>
      <c r="F268">
        <v>2026.67</v>
      </c>
      <c r="G268">
        <v>1</v>
      </c>
      <c r="H268">
        <v>0</v>
      </c>
    </row>
    <row r="269" spans="1:9" x14ac:dyDescent="0.2">
      <c r="A269" t="s">
        <v>306</v>
      </c>
      <c r="B269" s="1">
        <v>45866</v>
      </c>
      <c r="C269" t="s">
        <v>17</v>
      </c>
      <c r="D269" t="s">
        <v>11</v>
      </c>
      <c r="E269" t="s">
        <v>47</v>
      </c>
      <c r="F269">
        <v>1187.94</v>
      </c>
      <c r="G269">
        <v>1</v>
      </c>
      <c r="H269">
        <v>0</v>
      </c>
      <c r="I269">
        <v>2</v>
      </c>
    </row>
    <row r="270" spans="1:9" x14ac:dyDescent="0.2">
      <c r="A270" t="s">
        <v>307</v>
      </c>
      <c r="B270" s="1">
        <v>45909</v>
      </c>
      <c r="C270" t="s">
        <v>78</v>
      </c>
      <c r="D270" t="s">
        <v>11</v>
      </c>
      <c r="E270" t="s">
        <v>39</v>
      </c>
      <c r="F270">
        <v>1513.71</v>
      </c>
      <c r="G270">
        <v>10</v>
      </c>
      <c r="H270">
        <v>0</v>
      </c>
      <c r="I270">
        <v>2</v>
      </c>
    </row>
    <row r="271" spans="1:9" x14ac:dyDescent="0.2">
      <c r="A271" t="s">
        <v>308</v>
      </c>
      <c r="B271" s="1">
        <v>45702</v>
      </c>
      <c r="C271" t="s">
        <v>41</v>
      </c>
      <c r="D271" t="s">
        <v>11</v>
      </c>
      <c r="E271" t="s">
        <v>12</v>
      </c>
      <c r="F271">
        <v>751.01</v>
      </c>
      <c r="G271">
        <v>10</v>
      </c>
      <c r="H271">
        <v>0</v>
      </c>
      <c r="I271">
        <v>4</v>
      </c>
    </row>
    <row r="272" spans="1:9" x14ac:dyDescent="0.2">
      <c r="A272" t="s">
        <v>309</v>
      </c>
      <c r="B272" s="1">
        <v>45808</v>
      </c>
      <c r="C272" t="s">
        <v>54</v>
      </c>
      <c r="D272" t="s">
        <v>15</v>
      </c>
      <c r="E272" t="s">
        <v>56</v>
      </c>
      <c r="F272">
        <v>423.43</v>
      </c>
      <c r="G272">
        <v>10</v>
      </c>
      <c r="H272">
        <v>0</v>
      </c>
      <c r="I272">
        <v>2</v>
      </c>
    </row>
    <row r="273" spans="1:9" x14ac:dyDescent="0.2">
      <c r="A273" t="s">
        <v>310</v>
      </c>
      <c r="B273" s="1">
        <v>45950</v>
      </c>
      <c r="C273" t="s">
        <v>78</v>
      </c>
      <c r="D273" t="s">
        <v>11</v>
      </c>
      <c r="E273" t="s">
        <v>30</v>
      </c>
      <c r="F273">
        <v>1548.27</v>
      </c>
      <c r="G273">
        <v>5</v>
      </c>
      <c r="H273">
        <v>0.15</v>
      </c>
      <c r="I273">
        <v>1</v>
      </c>
    </row>
    <row r="274" spans="1:9" x14ac:dyDescent="0.2">
      <c r="A274" t="s">
        <v>311</v>
      </c>
      <c r="B274" s="1">
        <v>45756</v>
      </c>
      <c r="C274" t="s">
        <v>50</v>
      </c>
      <c r="D274" t="s">
        <v>11</v>
      </c>
      <c r="E274" t="s">
        <v>22</v>
      </c>
      <c r="F274">
        <v>1165.83</v>
      </c>
      <c r="G274">
        <v>2</v>
      </c>
      <c r="H274">
        <v>0</v>
      </c>
    </row>
    <row r="275" spans="1:9" x14ac:dyDescent="0.2">
      <c r="A275" t="s">
        <v>312</v>
      </c>
      <c r="B275" s="1">
        <v>45852</v>
      </c>
      <c r="C275" t="s">
        <v>24</v>
      </c>
      <c r="D275" t="s">
        <v>15</v>
      </c>
      <c r="E275" t="s">
        <v>18</v>
      </c>
      <c r="F275">
        <v>405.37</v>
      </c>
      <c r="G275">
        <v>2</v>
      </c>
      <c r="H275">
        <v>0.1</v>
      </c>
      <c r="I275">
        <v>4</v>
      </c>
    </row>
    <row r="276" spans="1:9" x14ac:dyDescent="0.2">
      <c r="A276" t="s">
        <v>313</v>
      </c>
      <c r="B276" s="1">
        <v>45940</v>
      </c>
      <c r="C276" t="s">
        <v>54</v>
      </c>
      <c r="D276" t="s">
        <v>15</v>
      </c>
      <c r="E276" t="s">
        <v>30</v>
      </c>
      <c r="F276">
        <v>243.94</v>
      </c>
      <c r="G276">
        <v>3</v>
      </c>
      <c r="H276">
        <v>0</v>
      </c>
      <c r="I276">
        <v>5</v>
      </c>
    </row>
    <row r="277" spans="1:9" x14ac:dyDescent="0.2">
      <c r="A277" t="s">
        <v>314</v>
      </c>
      <c r="B277" s="1">
        <v>45811</v>
      </c>
      <c r="C277" t="s">
        <v>29</v>
      </c>
      <c r="D277" t="s">
        <v>15</v>
      </c>
      <c r="E277" t="s">
        <v>30</v>
      </c>
      <c r="F277">
        <v>355.42</v>
      </c>
      <c r="G277">
        <v>1</v>
      </c>
      <c r="H277">
        <v>0.2</v>
      </c>
      <c r="I277">
        <v>1</v>
      </c>
    </row>
    <row r="278" spans="1:9" x14ac:dyDescent="0.2">
      <c r="A278" t="s">
        <v>315</v>
      </c>
      <c r="B278" s="1">
        <v>45749</v>
      </c>
      <c r="C278" t="s">
        <v>26</v>
      </c>
      <c r="D278" t="s">
        <v>27</v>
      </c>
      <c r="E278" t="s">
        <v>18</v>
      </c>
      <c r="F278">
        <v>502.98</v>
      </c>
      <c r="G278">
        <v>2</v>
      </c>
      <c r="H278">
        <v>0</v>
      </c>
      <c r="I278">
        <v>2</v>
      </c>
    </row>
    <row r="279" spans="1:9" x14ac:dyDescent="0.2">
      <c r="A279" t="s">
        <v>316</v>
      </c>
      <c r="B279" s="1">
        <v>45736</v>
      </c>
      <c r="C279" t="s">
        <v>17</v>
      </c>
      <c r="D279" t="s">
        <v>11</v>
      </c>
      <c r="E279" t="s">
        <v>47</v>
      </c>
      <c r="G279">
        <v>2</v>
      </c>
      <c r="H279">
        <v>0</v>
      </c>
      <c r="I279">
        <v>4</v>
      </c>
    </row>
    <row r="280" spans="1:9" x14ac:dyDescent="0.2">
      <c r="A280" t="s">
        <v>317</v>
      </c>
      <c r="B280" s="1">
        <v>45945</v>
      </c>
      <c r="C280" t="s">
        <v>50</v>
      </c>
      <c r="D280" t="s">
        <v>11</v>
      </c>
      <c r="E280" t="s">
        <v>56</v>
      </c>
      <c r="F280">
        <v>1565.53</v>
      </c>
      <c r="G280">
        <v>2</v>
      </c>
      <c r="H280">
        <v>0.2</v>
      </c>
    </row>
    <row r="281" spans="1:9" x14ac:dyDescent="0.2">
      <c r="A281" t="s">
        <v>318</v>
      </c>
      <c r="B281" s="1">
        <v>45956</v>
      </c>
      <c r="C281" t="s">
        <v>54</v>
      </c>
      <c r="D281" t="s">
        <v>15</v>
      </c>
      <c r="E281" t="s">
        <v>39</v>
      </c>
      <c r="F281">
        <v>373.19</v>
      </c>
      <c r="G281">
        <v>3</v>
      </c>
      <c r="H281">
        <v>0</v>
      </c>
      <c r="I281">
        <v>4</v>
      </c>
    </row>
    <row r="282" spans="1:9" x14ac:dyDescent="0.2">
      <c r="A282" t="s">
        <v>319</v>
      </c>
      <c r="B282" s="1">
        <v>45848</v>
      </c>
      <c r="C282" t="s">
        <v>41</v>
      </c>
      <c r="D282" t="s">
        <v>11</v>
      </c>
      <c r="E282" t="s">
        <v>39</v>
      </c>
      <c r="F282">
        <v>812.95</v>
      </c>
      <c r="G282">
        <v>1</v>
      </c>
      <c r="H282">
        <v>0.2</v>
      </c>
      <c r="I282">
        <v>4</v>
      </c>
    </row>
    <row r="283" spans="1:9" x14ac:dyDescent="0.2">
      <c r="A283" t="s">
        <v>320</v>
      </c>
      <c r="B283" s="1">
        <v>45798</v>
      </c>
      <c r="C283" t="s">
        <v>17</v>
      </c>
      <c r="D283" t="s">
        <v>11</v>
      </c>
      <c r="E283" t="s">
        <v>39</v>
      </c>
      <c r="F283">
        <v>940.43</v>
      </c>
      <c r="G283">
        <v>2</v>
      </c>
      <c r="H283">
        <v>0</v>
      </c>
    </row>
    <row r="284" spans="1:9" x14ac:dyDescent="0.2">
      <c r="A284" t="s">
        <v>321</v>
      </c>
      <c r="B284" s="1">
        <v>45712</v>
      </c>
      <c r="C284" t="s">
        <v>26</v>
      </c>
      <c r="D284" t="s">
        <v>27</v>
      </c>
      <c r="E284" t="s">
        <v>12</v>
      </c>
      <c r="F284">
        <v>549.52</v>
      </c>
      <c r="G284">
        <v>5</v>
      </c>
      <c r="H284">
        <v>0</v>
      </c>
      <c r="I284">
        <v>3</v>
      </c>
    </row>
    <row r="285" spans="1:9" x14ac:dyDescent="0.2">
      <c r="A285" t="s">
        <v>322</v>
      </c>
      <c r="B285" s="1">
        <v>45860</v>
      </c>
      <c r="C285" t="s">
        <v>37</v>
      </c>
      <c r="D285" t="s">
        <v>11</v>
      </c>
      <c r="E285" t="s">
        <v>12</v>
      </c>
      <c r="F285">
        <v>751.86</v>
      </c>
      <c r="G285">
        <v>1</v>
      </c>
      <c r="H285">
        <v>0</v>
      </c>
    </row>
    <row r="286" spans="1:9" x14ac:dyDescent="0.2">
      <c r="A286" t="s">
        <v>323</v>
      </c>
      <c r="B286" s="1">
        <v>45797</v>
      </c>
      <c r="C286" t="s">
        <v>10</v>
      </c>
      <c r="D286" t="s">
        <v>11</v>
      </c>
      <c r="E286" t="s">
        <v>22</v>
      </c>
      <c r="F286">
        <v>1010.29</v>
      </c>
      <c r="G286">
        <v>1</v>
      </c>
      <c r="H286">
        <v>0</v>
      </c>
      <c r="I286">
        <v>2</v>
      </c>
    </row>
    <row r="287" spans="1:9" x14ac:dyDescent="0.2">
      <c r="A287" t="s">
        <v>324</v>
      </c>
      <c r="B287" s="1">
        <v>45775</v>
      </c>
      <c r="C287" t="s">
        <v>20</v>
      </c>
      <c r="D287" t="s">
        <v>21</v>
      </c>
      <c r="E287" t="s">
        <v>18</v>
      </c>
      <c r="F287" t="s">
        <v>325</v>
      </c>
      <c r="G287">
        <v>5</v>
      </c>
      <c r="H287">
        <v>0.15</v>
      </c>
      <c r="I287">
        <v>4</v>
      </c>
    </row>
    <row r="288" spans="1:9" x14ac:dyDescent="0.2">
      <c r="A288" t="s">
        <v>326</v>
      </c>
      <c r="B288" s="1">
        <v>45907</v>
      </c>
      <c r="C288" t="s">
        <v>78</v>
      </c>
      <c r="D288" t="s">
        <v>11</v>
      </c>
      <c r="E288" t="s">
        <v>39</v>
      </c>
      <c r="F288">
        <v>1037.54</v>
      </c>
      <c r="G288">
        <v>1</v>
      </c>
      <c r="H288">
        <v>0</v>
      </c>
      <c r="I288">
        <v>4</v>
      </c>
    </row>
    <row r="289" spans="1:9" x14ac:dyDescent="0.2">
      <c r="A289" t="s">
        <v>327</v>
      </c>
      <c r="B289" s="1">
        <v>45691</v>
      </c>
      <c r="C289" t="s">
        <v>54</v>
      </c>
      <c r="D289" t="s">
        <v>15</v>
      </c>
      <c r="E289" t="s">
        <v>18</v>
      </c>
      <c r="F289">
        <v>372</v>
      </c>
      <c r="G289">
        <v>2</v>
      </c>
      <c r="H289">
        <v>0.15</v>
      </c>
      <c r="I289">
        <v>5</v>
      </c>
    </row>
    <row r="290" spans="1:9" x14ac:dyDescent="0.2">
      <c r="A290" t="s">
        <v>328</v>
      </c>
      <c r="B290" s="1">
        <v>45813</v>
      </c>
      <c r="C290" t="s">
        <v>10</v>
      </c>
      <c r="D290" t="s">
        <v>11</v>
      </c>
      <c r="E290" t="s">
        <v>47</v>
      </c>
      <c r="F290">
        <v>1028.56</v>
      </c>
      <c r="G290">
        <v>1</v>
      </c>
      <c r="H290">
        <v>0</v>
      </c>
      <c r="I290">
        <v>2</v>
      </c>
    </row>
    <row r="291" spans="1:9" x14ac:dyDescent="0.2">
      <c r="A291" t="s">
        <v>329</v>
      </c>
      <c r="B291" s="1">
        <v>45758</v>
      </c>
      <c r="C291" t="s">
        <v>24</v>
      </c>
      <c r="D291" t="s">
        <v>15</v>
      </c>
      <c r="E291" t="s">
        <v>18</v>
      </c>
      <c r="F291">
        <v>307.72000000000003</v>
      </c>
      <c r="G291">
        <v>10</v>
      </c>
      <c r="H291">
        <v>0</v>
      </c>
      <c r="I291">
        <v>4</v>
      </c>
    </row>
    <row r="292" spans="1:9" x14ac:dyDescent="0.2">
      <c r="A292" t="s">
        <v>330</v>
      </c>
      <c r="B292" s="1">
        <v>45708</v>
      </c>
      <c r="C292" t="s">
        <v>50</v>
      </c>
      <c r="D292" t="s">
        <v>11</v>
      </c>
      <c r="F292">
        <v>1623.71</v>
      </c>
      <c r="G292">
        <v>1</v>
      </c>
      <c r="H292">
        <v>0.2</v>
      </c>
    </row>
    <row r="293" spans="1:9" x14ac:dyDescent="0.2">
      <c r="A293" t="s">
        <v>331</v>
      </c>
      <c r="B293" s="1">
        <v>45768</v>
      </c>
      <c r="C293" t="s">
        <v>29</v>
      </c>
      <c r="D293" t="s">
        <v>15</v>
      </c>
      <c r="E293" t="s">
        <v>12</v>
      </c>
      <c r="F293">
        <v>378.35</v>
      </c>
      <c r="G293">
        <v>5</v>
      </c>
      <c r="H293">
        <v>0.1</v>
      </c>
      <c r="I293">
        <v>4</v>
      </c>
    </row>
    <row r="294" spans="1:9" x14ac:dyDescent="0.2">
      <c r="A294" t="s">
        <v>332</v>
      </c>
      <c r="B294" s="1">
        <v>45927</v>
      </c>
      <c r="C294" t="s">
        <v>20</v>
      </c>
      <c r="D294" t="s">
        <v>21</v>
      </c>
      <c r="E294" t="s">
        <v>39</v>
      </c>
      <c r="F294">
        <v>1604.37</v>
      </c>
      <c r="G294">
        <v>2</v>
      </c>
      <c r="H294">
        <v>0.2</v>
      </c>
    </row>
    <row r="295" spans="1:9" x14ac:dyDescent="0.2">
      <c r="A295" t="s">
        <v>333</v>
      </c>
      <c r="B295" s="1">
        <v>45850</v>
      </c>
      <c r="C295" t="s">
        <v>24</v>
      </c>
      <c r="D295" t="s">
        <v>15</v>
      </c>
      <c r="E295" t="s">
        <v>47</v>
      </c>
      <c r="F295">
        <v>431.15</v>
      </c>
      <c r="G295">
        <v>1</v>
      </c>
      <c r="H295">
        <v>0.1</v>
      </c>
      <c r="I295">
        <v>4</v>
      </c>
    </row>
    <row r="296" spans="1:9" x14ac:dyDescent="0.2">
      <c r="A296" t="s">
        <v>334</v>
      </c>
      <c r="B296" s="1">
        <v>45715</v>
      </c>
      <c r="C296" t="s">
        <v>14</v>
      </c>
      <c r="D296" t="s">
        <v>15</v>
      </c>
      <c r="E296" t="s">
        <v>56</v>
      </c>
      <c r="F296">
        <v>307.88</v>
      </c>
      <c r="G296">
        <v>3</v>
      </c>
      <c r="H296">
        <v>0</v>
      </c>
      <c r="I296">
        <v>4</v>
      </c>
    </row>
    <row r="297" spans="1:9" x14ac:dyDescent="0.2">
      <c r="A297" t="s">
        <v>335</v>
      </c>
      <c r="B297" s="1">
        <v>46013</v>
      </c>
      <c r="C297" t="s">
        <v>78</v>
      </c>
      <c r="D297" t="s">
        <v>11</v>
      </c>
      <c r="E297" t="s">
        <v>12</v>
      </c>
      <c r="G297">
        <v>1</v>
      </c>
      <c r="H297">
        <v>0</v>
      </c>
      <c r="I297">
        <v>1</v>
      </c>
    </row>
    <row r="298" spans="1:9" x14ac:dyDescent="0.2">
      <c r="A298" t="s">
        <v>336</v>
      </c>
      <c r="B298" s="1">
        <v>45678</v>
      </c>
      <c r="C298" t="s">
        <v>43</v>
      </c>
      <c r="D298" t="s">
        <v>15</v>
      </c>
      <c r="E298" t="s">
        <v>30</v>
      </c>
      <c r="F298">
        <v>256.52999999999997</v>
      </c>
      <c r="G298">
        <v>10</v>
      </c>
      <c r="H298">
        <v>0</v>
      </c>
      <c r="I298">
        <v>5</v>
      </c>
    </row>
    <row r="299" spans="1:9" x14ac:dyDescent="0.2">
      <c r="A299" t="s">
        <v>337</v>
      </c>
      <c r="B299" s="1">
        <v>45671</v>
      </c>
      <c r="C299" t="s">
        <v>50</v>
      </c>
      <c r="D299" t="s">
        <v>11</v>
      </c>
      <c r="E299" t="s">
        <v>47</v>
      </c>
      <c r="F299">
        <v>919.52</v>
      </c>
      <c r="G299">
        <v>5</v>
      </c>
      <c r="H299">
        <v>0.15</v>
      </c>
      <c r="I299">
        <v>1</v>
      </c>
    </row>
    <row r="300" spans="1:9" x14ac:dyDescent="0.2">
      <c r="A300" t="s">
        <v>338</v>
      </c>
      <c r="B300" s="1">
        <v>45823</v>
      </c>
      <c r="C300" t="s">
        <v>24</v>
      </c>
      <c r="D300" t="s">
        <v>15</v>
      </c>
      <c r="E300" t="s">
        <v>18</v>
      </c>
      <c r="F300">
        <v>407.9</v>
      </c>
      <c r="G300">
        <v>1</v>
      </c>
      <c r="H300">
        <v>0.1</v>
      </c>
    </row>
    <row r="301" spans="1:9" x14ac:dyDescent="0.2">
      <c r="A301" t="s">
        <v>339</v>
      </c>
      <c r="B301" s="1">
        <v>45865</v>
      </c>
      <c r="C301" t="s">
        <v>78</v>
      </c>
      <c r="D301" t="s">
        <v>11</v>
      </c>
      <c r="E301" t="s">
        <v>39</v>
      </c>
      <c r="F301" t="s">
        <v>340</v>
      </c>
      <c r="G301">
        <v>1</v>
      </c>
      <c r="H301">
        <v>0.1</v>
      </c>
      <c r="I301">
        <v>3</v>
      </c>
    </row>
    <row r="302" spans="1:9" x14ac:dyDescent="0.2">
      <c r="A302" t="s">
        <v>341</v>
      </c>
      <c r="B302" s="1">
        <v>45782</v>
      </c>
      <c r="C302" t="s">
        <v>29</v>
      </c>
      <c r="D302" t="s">
        <v>15</v>
      </c>
      <c r="E302" t="s">
        <v>47</v>
      </c>
      <c r="F302">
        <v>338.94</v>
      </c>
      <c r="G302">
        <v>10</v>
      </c>
      <c r="H302">
        <v>0</v>
      </c>
      <c r="I302">
        <v>5</v>
      </c>
    </row>
    <row r="303" spans="1:9" x14ac:dyDescent="0.2">
      <c r="A303" t="s">
        <v>342</v>
      </c>
      <c r="B303" s="1">
        <v>45993</v>
      </c>
      <c r="C303" t="s">
        <v>10</v>
      </c>
      <c r="D303" t="s">
        <v>11</v>
      </c>
      <c r="E303" t="s">
        <v>39</v>
      </c>
      <c r="F303">
        <v>962.49</v>
      </c>
      <c r="G303">
        <v>5</v>
      </c>
      <c r="H303">
        <v>0</v>
      </c>
      <c r="I303">
        <v>5</v>
      </c>
    </row>
    <row r="304" spans="1:9" x14ac:dyDescent="0.2">
      <c r="A304" t="s">
        <v>343</v>
      </c>
      <c r="B304" s="1">
        <v>45918</v>
      </c>
      <c r="C304" t="s">
        <v>17</v>
      </c>
      <c r="D304" t="s">
        <v>11</v>
      </c>
      <c r="E304" t="s">
        <v>12</v>
      </c>
      <c r="F304">
        <v>788.85</v>
      </c>
      <c r="G304">
        <v>10</v>
      </c>
      <c r="H304">
        <v>0.2</v>
      </c>
      <c r="I304">
        <v>4</v>
      </c>
    </row>
    <row r="305" spans="1:9" x14ac:dyDescent="0.2">
      <c r="A305" t="s">
        <v>344</v>
      </c>
      <c r="B305" s="1">
        <v>45749</v>
      </c>
      <c r="C305" t="s">
        <v>17</v>
      </c>
      <c r="D305" t="s">
        <v>11</v>
      </c>
      <c r="E305" t="s">
        <v>12</v>
      </c>
      <c r="F305">
        <v>1290.17</v>
      </c>
      <c r="G305">
        <v>1</v>
      </c>
      <c r="H305">
        <v>0.2</v>
      </c>
      <c r="I305">
        <v>4</v>
      </c>
    </row>
    <row r="306" spans="1:9" x14ac:dyDescent="0.2">
      <c r="A306" t="s">
        <v>345</v>
      </c>
      <c r="B306" s="1">
        <v>45888</v>
      </c>
      <c r="C306" t="s">
        <v>78</v>
      </c>
      <c r="D306" t="s">
        <v>11</v>
      </c>
      <c r="E306" t="s">
        <v>18</v>
      </c>
      <c r="F306">
        <v>1043.8499999999999</v>
      </c>
      <c r="G306">
        <v>10</v>
      </c>
      <c r="H306">
        <v>0</v>
      </c>
      <c r="I306">
        <v>5</v>
      </c>
    </row>
    <row r="307" spans="1:9" x14ac:dyDescent="0.2">
      <c r="A307" t="s">
        <v>346</v>
      </c>
      <c r="B307" s="1">
        <v>46013</v>
      </c>
      <c r="C307" t="s">
        <v>14</v>
      </c>
      <c r="D307" t="s">
        <v>15</v>
      </c>
      <c r="E307" t="s">
        <v>30</v>
      </c>
      <c r="F307">
        <v>375.05</v>
      </c>
      <c r="G307">
        <v>2</v>
      </c>
      <c r="H307">
        <v>0</v>
      </c>
      <c r="I307">
        <v>1</v>
      </c>
    </row>
    <row r="308" spans="1:9" x14ac:dyDescent="0.2">
      <c r="A308" t="s">
        <v>347</v>
      </c>
      <c r="B308" s="1">
        <v>45810</v>
      </c>
      <c r="C308" t="s">
        <v>43</v>
      </c>
      <c r="D308" t="s">
        <v>15</v>
      </c>
      <c r="E308" t="s">
        <v>30</v>
      </c>
      <c r="F308">
        <v>358.42</v>
      </c>
      <c r="G308">
        <v>2</v>
      </c>
      <c r="H308">
        <v>0.2</v>
      </c>
      <c r="I308">
        <v>4</v>
      </c>
    </row>
    <row r="309" spans="1:9" x14ac:dyDescent="0.2">
      <c r="A309" t="s">
        <v>348</v>
      </c>
      <c r="B309" s="1">
        <v>45916</v>
      </c>
      <c r="C309" t="s">
        <v>41</v>
      </c>
      <c r="D309" t="s">
        <v>11</v>
      </c>
      <c r="E309" t="s">
        <v>22</v>
      </c>
      <c r="F309">
        <v>1297.98</v>
      </c>
      <c r="G309">
        <v>5</v>
      </c>
      <c r="H309">
        <v>0.2</v>
      </c>
      <c r="I309">
        <v>2</v>
      </c>
    </row>
    <row r="310" spans="1:9" x14ac:dyDescent="0.2">
      <c r="A310" t="s">
        <v>349</v>
      </c>
      <c r="B310" s="1">
        <v>45963</v>
      </c>
      <c r="C310" t="s">
        <v>29</v>
      </c>
      <c r="D310" t="s">
        <v>15</v>
      </c>
      <c r="E310" t="s">
        <v>47</v>
      </c>
      <c r="F310">
        <v>306.11</v>
      </c>
      <c r="G310">
        <v>3</v>
      </c>
      <c r="H310">
        <v>0.1</v>
      </c>
      <c r="I310">
        <v>3</v>
      </c>
    </row>
    <row r="311" spans="1:9" x14ac:dyDescent="0.2">
      <c r="A311" t="s">
        <v>350</v>
      </c>
      <c r="B311" s="1">
        <v>45995</v>
      </c>
      <c r="C311" t="s">
        <v>41</v>
      </c>
      <c r="D311" t="s">
        <v>11</v>
      </c>
      <c r="E311" t="s">
        <v>12</v>
      </c>
      <c r="F311">
        <v>1408.71</v>
      </c>
      <c r="G311">
        <v>2</v>
      </c>
      <c r="H311">
        <v>0</v>
      </c>
    </row>
    <row r="312" spans="1:9" x14ac:dyDescent="0.2">
      <c r="A312" t="s">
        <v>351</v>
      </c>
      <c r="B312" s="1">
        <v>45728</v>
      </c>
      <c r="C312" t="s">
        <v>10</v>
      </c>
      <c r="D312" t="s">
        <v>11</v>
      </c>
      <c r="E312" t="s">
        <v>30</v>
      </c>
      <c r="F312" t="s">
        <v>352</v>
      </c>
      <c r="G312">
        <v>1</v>
      </c>
      <c r="H312">
        <v>0</v>
      </c>
      <c r="I312">
        <v>5</v>
      </c>
    </row>
    <row r="313" spans="1:9" x14ac:dyDescent="0.2">
      <c r="A313" t="s">
        <v>353</v>
      </c>
      <c r="B313" s="1">
        <v>45697</v>
      </c>
      <c r="C313" t="s">
        <v>10</v>
      </c>
      <c r="D313" t="s">
        <v>11</v>
      </c>
      <c r="E313" t="s">
        <v>30</v>
      </c>
      <c r="F313">
        <v>1227.24</v>
      </c>
      <c r="G313">
        <v>1</v>
      </c>
      <c r="H313">
        <v>0.15</v>
      </c>
    </row>
    <row r="314" spans="1:9" x14ac:dyDescent="0.2">
      <c r="A314" t="s">
        <v>354</v>
      </c>
      <c r="B314" s="1">
        <v>45841</v>
      </c>
      <c r="C314" t="s">
        <v>24</v>
      </c>
      <c r="D314" t="s">
        <v>15</v>
      </c>
      <c r="E314" t="s">
        <v>22</v>
      </c>
      <c r="F314">
        <v>476.87</v>
      </c>
      <c r="G314">
        <v>2</v>
      </c>
      <c r="H314">
        <v>0</v>
      </c>
      <c r="I314">
        <v>5</v>
      </c>
    </row>
    <row r="315" spans="1:9" x14ac:dyDescent="0.2">
      <c r="A315" t="s">
        <v>355</v>
      </c>
      <c r="B315" s="1">
        <v>45743</v>
      </c>
      <c r="C315" t="s">
        <v>29</v>
      </c>
      <c r="D315" t="s">
        <v>15</v>
      </c>
      <c r="E315" t="s">
        <v>22</v>
      </c>
      <c r="F315">
        <v>324.73</v>
      </c>
      <c r="G315">
        <v>5</v>
      </c>
      <c r="H315">
        <v>0.1</v>
      </c>
      <c r="I315">
        <v>5</v>
      </c>
    </row>
    <row r="316" spans="1:9" x14ac:dyDescent="0.2">
      <c r="A316" t="s">
        <v>356</v>
      </c>
      <c r="B316" s="1">
        <v>45985</v>
      </c>
      <c r="C316" t="s">
        <v>50</v>
      </c>
      <c r="D316" t="s">
        <v>11</v>
      </c>
      <c r="E316" t="s">
        <v>18</v>
      </c>
      <c r="F316">
        <v>1323.31</v>
      </c>
      <c r="G316">
        <v>5</v>
      </c>
      <c r="H316">
        <v>0.2</v>
      </c>
      <c r="I316">
        <v>4</v>
      </c>
    </row>
    <row r="317" spans="1:9" x14ac:dyDescent="0.2">
      <c r="A317" t="s">
        <v>357</v>
      </c>
      <c r="B317" s="1">
        <v>45957</v>
      </c>
      <c r="C317" t="s">
        <v>32</v>
      </c>
      <c r="D317" t="s">
        <v>21</v>
      </c>
      <c r="E317" t="s">
        <v>12</v>
      </c>
      <c r="F317">
        <v>1711.53</v>
      </c>
      <c r="G317">
        <v>1</v>
      </c>
      <c r="H317">
        <v>0</v>
      </c>
      <c r="I317">
        <v>2</v>
      </c>
    </row>
    <row r="318" spans="1:9" x14ac:dyDescent="0.2">
      <c r="A318" t="s">
        <v>358</v>
      </c>
      <c r="B318" s="1">
        <v>45855</v>
      </c>
      <c r="C318" t="s">
        <v>50</v>
      </c>
      <c r="D318" t="s">
        <v>11</v>
      </c>
      <c r="E318" t="s">
        <v>56</v>
      </c>
      <c r="F318">
        <v>858.06</v>
      </c>
      <c r="G318">
        <v>5</v>
      </c>
      <c r="H318">
        <v>0.15</v>
      </c>
      <c r="I318">
        <v>5</v>
      </c>
    </row>
    <row r="319" spans="1:9" x14ac:dyDescent="0.2">
      <c r="A319" t="s">
        <v>359</v>
      </c>
      <c r="B319" s="1">
        <v>45715</v>
      </c>
      <c r="C319" t="s">
        <v>17</v>
      </c>
      <c r="D319" t="s">
        <v>11</v>
      </c>
      <c r="E319" t="s">
        <v>47</v>
      </c>
      <c r="F319">
        <v>1488.29</v>
      </c>
      <c r="G319">
        <v>1</v>
      </c>
      <c r="H319">
        <v>0</v>
      </c>
    </row>
    <row r="320" spans="1:9" x14ac:dyDescent="0.2">
      <c r="A320" t="s">
        <v>360</v>
      </c>
      <c r="B320" s="1">
        <v>45692</v>
      </c>
      <c r="C320" t="s">
        <v>34</v>
      </c>
      <c r="D320" t="s">
        <v>11</v>
      </c>
      <c r="E320" t="s">
        <v>47</v>
      </c>
      <c r="F320">
        <v>773.11</v>
      </c>
      <c r="G320">
        <v>1</v>
      </c>
      <c r="H320">
        <v>0</v>
      </c>
      <c r="I320">
        <v>4</v>
      </c>
    </row>
    <row r="321" spans="1:9" x14ac:dyDescent="0.2">
      <c r="A321" t="s">
        <v>361</v>
      </c>
      <c r="B321" s="1">
        <v>46009</v>
      </c>
      <c r="C321" t="s">
        <v>50</v>
      </c>
      <c r="D321" t="s">
        <v>11</v>
      </c>
      <c r="E321" t="s">
        <v>39</v>
      </c>
      <c r="F321">
        <v>1270.3399999999999</v>
      </c>
      <c r="G321">
        <v>1</v>
      </c>
      <c r="H321">
        <v>0</v>
      </c>
      <c r="I321">
        <v>3</v>
      </c>
    </row>
    <row r="322" spans="1:9" x14ac:dyDescent="0.2">
      <c r="A322" t="s">
        <v>362</v>
      </c>
      <c r="B322" s="1">
        <v>45707</v>
      </c>
      <c r="C322" t="s">
        <v>43</v>
      </c>
      <c r="D322" t="s">
        <v>15</v>
      </c>
      <c r="E322" t="s">
        <v>30</v>
      </c>
      <c r="F322">
        <v>337.06</v>
      </c>
      <c r="G322">
        <v>1</v>
      </c>
      <c r="H322">
        <v>0.1</v>
      </c>
    </row>
    <row r="323" spans="1:9" x14ac:dyDescent="0.2">
      <c r="A323" t="s">
        <v>363</v>
      </c>
      <c r="B323" s="1">
        <v>45773</v>
      </c>
      <c r="C323" t="s">
        <v>32</v>
      </c>
      <c r="D323" t="s">
        <v>21</v>
      </c>
      <c r="E323" t="s">
        <v>47</v>
      </c>
      <c r="F323">
        <v>1628.04</v>
      </c>
      <c r="G323">
        <v>10</v>
      </c>
      <c r="H323">
        <v>0</v>
      </c>
      <c r="I323">
        <v>1</v>
      </c>
    </row>
    <row r="324" spans="1:9" x14ac:dyDescent="0.2">
      <c r="A324" t="s">
        <v>364</v>
      </c>
      <c r="B324" s="1">
        <v>45705</v>
      </c>
      <c r="C324" t="s">
        <v>29</v>
      </c>
      <c r="D324" t="s">
        <v>15</v>
      </c>
      <c r="E324" t="s">
        <v>18</v>
      </c>
      <c r="F324">
        <v>259.7</v>
      </c>
      <c r="G324">
        <v>1</v>
      </c>
      <c r="H324">
        <v>0</v>
      </c>
    </row>
    <row r="325" spans="1:9" x14ac:dyDescent="0.2">
      <c r="A325" t="s">
        <v>138</v>
      </c>
      <c r="B325" s="1">
        <v>45917</v>
      </c>
      <c r="C325" t="s">
        <v>50</v>
      </c>
      <c r="D325" t="s">
        <v>11</v>
      </c>
      <c r="F325">
        <v>1050.55</v>
      </c>
      <c r="G325">
        <v>5</v>
      </c>
      <c r="H325">
        <v>0.1</v>
      </c>
    </row>
    <row r="326" spans="1:9" x14ac:dyDescent="0.2">
      <c r="A326" t="s">
        <v>365</v>
      </c>
      <c r="B326" s="1">
        <v>45696</v>
      </c>
      <c r="C326" t="s">
        <v>54</v>
      </c>
      <c r="D326" t="s">
        <v>15</v>
      </c>
      <c r="E326" t="s">
        <v>22</v>
      </c>
      <c r="F326">
        <v>403.96</v>
      </c>
      <c r="G326">
        <v>1</v>
      </c>
      <c r="H326">
        <v>0.1</v>
      </c>
    </row>
    <row r="327" spans="1:9" x14ac:dyDescent="0.2">
      <c r="A327" t="s">
        <v>366</v>
      </c>
      <c r="B327" s="1">
        <v>45675</v>
      </c>
      <c r="C327" t="s">
        <v>37</v>
      </c>
      <c r="D327" t="s">
        <v>11</v>
      </c>
      <c r="E327" t="s">
        <v>47</v>
      </c>
      <c r="F327">
        <v>1009.71</v>
      </c>
      <c r="G327">
        <v>10</v>
      </c>
      <c r="H327">
        <v>0.15</v>
      </c>
      <c r="I327">
        <v>1</v>
      </c>
    </row>
    <row r="328" spans="1:9" x14ac:dyDescent="0.2">
      <c r="A328" t="s">
        <v>367</v>
      </c>
      <c r="B328" s="1">
        <v>45785</v>
      </c>
      <c r="C328" t="s">
        <v>14</v>
      </c>
      <c r="D328" t="s">
        <v>15</v>
      </c>
      <c r="E328" t="s">
        <v>18</v>
      </c>
      <c r="F328">
        <v>267.17</v>
      </c>
      <c r="G328">
        <v>1</v>
      </c>
      <c r="H328">
        <v>0</v>
      </c>
      <c r="I328">
        <v>5</v>
      </c>
    </row>
    <row r="329" spans="1:9" x14ac:dyDescent="0.2">
      <c r="A329" t="s">
        <v>368</v>
      </c>
      <c r="B329" s="1">
        <v>45673</v>
      </c>
      <c r="C329" t="s">
        <v>29</v>
      </c>
      <c r="D329" t="s">
        <v>15</v>
      </c>
      <c r="E329" t="s">
        <v>39</v>
      </c>
      <c r="F329">
        <v>123.11</v>
      </c>
      <c r="G329">
        <v>1</v>
      </c>
      <c r="H329">
        <v>0.2</v>
      </c>
    </row>
    <row r="330" spans="1:9" x14ac:dyDescent="0.2">
      <c r="A330" t="s">
        <v>369</v>
      </c>
      <c r="B330" s="1">
        <v>45693</v>
      </c>
      <c r="C330" t="s">
        <v>43</v>
      </c>
      <c r="D330" t="s">
        <v>15</v>
      </c>
      <c r="E330" t="s">
        <v>12</v>
      </c>
      <c r="F330">
        <v>453.45</v>
      </c>
      <c r="G330">
        <v>2</v>
      </c>
      <c r="H330">
        <v>0</v>
      </c>
    </row>
    <row r="331" spans="1:9" x14ac:dyDescent="0.2">
      <c r="A331" t="s">
        <v>370</v>
      </c>
      <c r="B331" s="1">
        <v>45971</v>
      </c>
      <c r="C331" t="s">
        <v>54</v>
      </c>
      <c r="D331" t="s">
        <v>15</v>
      </c>
      <c r="E331" t="s">
        <v>47</v>
      </c>
      <c r="F331">
        <v>353.29</v>
      </c>
      <c r="G331">
        <v>10</v>
      </c>
      <c r="H331">
        <v>0.2</v>
      </c>
      <c r="I331">
        <v>1</v>
      </c>
    </row>
    <row r="332" spans="1:9" x14ac:dyDescent="0.2">
      <c r="A332" t="s">
        <v>371</v>
      </c>
      <c r="B332" s="1">
        <v>45794</v>
      </c>
      <c r="C332" t="s">
        <v>20</v>
      </c>
      <c r="D332" t="s">
        <v>21</v>
      </c>
      <c r="E332" t="s">
        <v>22</v>
      </c>
      <c r="F332" t="s">
        <v>372</v>
      </c>
      <c r="G332">
        <v>3</v>
      </c>
      <c r="H332">
        <v>0</v>
      </c>
      <c r="I332">
        <v>1</v>
      </c>
    </row>
    <row r="333" spans="1:9" x14ac:dyDescent="0.2">
      <c r="A333" t="s">
        <v>373</v>
      </c>
      <c r="B333" s="1">
        <v>46020</v>
      </c>
      <c r="C333" t="s">
        <v>34</v>
      </c>
      <c r="D333" t="s">
        <v>11</v>
      </c>
      <c r="E333" t="s">
        <v>56</v>
      </c>
      <c r="F333">
        <v>881.24</v>
      </c>
      <c r="G333">
        <v>1</v>
      </c>
      <c r="H333">
        <v>0</v>
      </c>
      <c r="I333">
        <v>2</v>
      </c>
    </row>
    <row r="334" spans="1:9" x14ac:dyDescent="0.2">
      <c r="A334" t="s">
        <v>374</v>
      </c>
      <c r="B334" s="1">
        <v>45715</v>
      </c>
      <c r="C334" t="s">
        <v>10</v>
      </c>
      <c r="D334" t="s">
        <v>11</v>
      </c>
      <c r="E334" t="s">
        <v>22</v>
      </c>
      <c r="F334">
        <v>1236.07</v>
      </c>
      <c r="G334">
        <v>5</v>
      </c>
      <c r="H334">
        <v>0</v>
      </c>
      <c r="I334">
        <v>3</v>
      </c>
    </row>
    <row r="335" spans="1:9" x14ac:dyDescent="0.2">
      <c r="A335" t="s">
        <v>375</v>
      </c>
      <c r="B335" s="1">
        <v>45892</v>
      </c>
      <c r="C335" t="s">
        <v>29</v>
      </c>
      <c r="D335" t="s">
        <v>15</v>
      </c>
      <c r="E335" t="s">
        <v>12</v>
      </c>
      <c r="F335">
        <v>302.60000000000002</v>
      </c>
      <c r="G335">
        <v>1</v>
      </c>
      <c r="H335">
        <v>0</v>
      </c>
      <c r="I335">
        <v>4</v>
      </c>
    </row>
    <row r="336" spans="1:9" x14ac:dyDescent="0.2">
      <c r="A336" t="s">
        <v>376</v>
      </c>
      <c r="B336" s="1">
        <v>45681</v>
      </c>
      <c r="C336" t="s">
        <v>29</v>
      </c>
      <c r="D336" t="s">
        <v>15</v>
      </c>
      <c r="E336" t="s">
        <v>56</v>
      </c>
      <c r="F336">
        <v>317.56</v>
      </c>
      <c r="G336">
        <v>2</v>
      </c>
      <c r="H336">
        <v>0</v>
      </c>
      <c r="I336">
        <v>2</v>
      </c>
    </row>
    <row r="337" spans="1:9" x14ac:dyDescent="0.2">
      <c r="A337" t="s">
        <v>377</v>
      </c>
      <c r="B337" s="1">
        <v>45842</v>
      </c>
      <c r="C337" t="s">
        <v>14</v>
      </c>
      <c r="D337" t="s">
        <v>15</v>
      </c>
      <c r="E337" t="s">
        <v>56</v>
      </c>
      <c r="F337">
        <v>281.51</v>
      </c>
      <c r="G337">
        <v>2</v>
      </c>
      <c r="H337">
        <v>0</v>
      </c>
      <c r="I337">
        <v>5</v>
      </c>
    </row>
    <row r="338" spans="1:9" x14ac:dyDescent="0.2">
      <c r="A338" t="s">
        <v>378</v>
      </c>
      <c r="B338" s="1">
        <v>45729</v>
      </c>
      <c r="C338" t="s">
        <v>29</v>
      </c>
      <c r="D338" t="s">
        <v>15</v>
      </c>
      <c r="E338" t="s">
        <v>12</v>
      </c>
      <c r="F338">
        <v>340.89</v>
      </c>
      <c r="G338">
        <v>10</v>
      </c>
      <c r="H338">
        <v>0.1</v>
      </c>
      <c r="I338">
        <v>1</v>
      </c>
    </row>
    <row r="339" spans="1:9" x14ac:dyDescent="0.2">
      <c r="A339" t="s">
        <v>379</v>
      </c>
      <c r="B339" s="1">
        <v>45930</v>
      </c>
      <c r="C339" t="s">
        <v>41</v>
      </c>
      <c r="D339" t="s">
        <v>11</v>
      </c>
      <c r="E339" t="s">
        <v>56</v>
      </c>
      <c r="F339">
        <v>1196.76</v>
      </c>
      <c r="G339">
        <v>1</v>
      </c>
      <c r="H339">
        <v>0</v>
      </c>
      <c r="I339">
        <v>5</v>
      </c>
    </row>
    <row r="340" spans="1:9" x14ac:dyDescent="0.2">
      <c r="A340" t="s">
        <v>380</v>
      </c>
      <c r="B340" s="1">
        <v>45766</v>
      </c>
      <c r="C340" t="s">
        <v>32</v>
      </c>
      <c r="D340" t="s">
        <v>21</v>
      </c>
      <c r="E340" t="s">
        <v>30</v>
      </c>
      <c r="F340">
        <v>1603.83</v>
      </c>
      <c r="G340">
        <v>2</v>
      </c>
      <c r="H340">
        <v>0</v>
      </c>
      <c r="I340">
        <v>1</v>
      </c>
    </row>
    <row r="341" spans="1:9" x14ac:dyDescent="0.2">
      <c r="A341" t="s">
        <v>381</v>
      </c>
      <c r="B341" s="1">
        <v>45960</v>
      </c>
      <c r="C341" t="s">
        <v>26</v>
      </c>
      <c r="D341" t="s">
        <v>27</v>
      </c>
      <c r="E341" t="s">
        <v>47</v>
      </c>
      <c r="F341">
        <v>630.53</v>
      </c>
      <c r="G341">
        <v>1</v>
      </c>
      <c r="H341">
        <v>0.2</v>
      </c>
      <c r="I341">
        <v>3</v>
      </c>
    </row>
    <row r="342" spans="1:9" x14ac:dyDescent="0.2">
      <c r="A342" t="s">
        <v>382</v>
      </c>
      <c r="B342" s="1">
        <v>45836</v>
      </c>
      <c r="C342" t="s">
        <v>20</v>
      </c>
      <c r="D342" t="s">
        <v>21</v>
      </c>
      <c r="E342" t="s">
        <v>12</v>
      </c>
      <c r="F342">
        <v>2038.37</v>
      </c>
      <c r="G342">
        <v>3</v>
      </c>
      <c r="H342">
        <v>0.2</v>
      </c>
      <c r="I342">
        <v>3</v>
      </c>
    </row>
    <row r="343" spans="1:9" x14ac:dyDescent="0.2">
      <c r="A343" t="s">
        <v>383</v>
      </c>
      <c r="B343" s="1">
        <v>45731</v>
      </c>
      <c r="C343" t="s">
        <v>20</v>
      </c>
      <c r="D343" t="s">
        <v>21</v>
      </c>
      <c r="E343" t="s">
        <v>18</v>
      </c>
      <c r="F343">
        <v>1368.76</v>
      </c>
      <c r="G343">
        <v>2</v>
      </c>
      <c r="H343">
        <v>0.1</v>
      </c>
      <c r="I343">
        <v>4</v>
      </c>
    </row>
    <row r="344" spans="1:9" x14ac:dyDescent="0.2">
      <c r="A344" t="s">
        <v>384</v>
      </c>
      <c r="B344" s="1">
        <v>45864</v>
      </c>
      <c r="C344" t="s">
        <v>29</v>
      </c>
      <c r="D344" t="s">
        <v>15</v>
      </c>
      <c r="E344" t="s">
        <v>47</v>
      </c>
      <c r="F344">
        <v>295.52</v>
      </c>
      <c r="G344">
        <v>1</v>
      </c>
      <c r="H344">
        <v>0.15</v>
      </c>
      <c r="I344">
        <v>1</v>
      </c>
    </row>
    <row r="345" spans="1:9" x14ac:dyDescent="0.2">
      <c r="A345" t="s">
        <v>385</v>
      </c>
      <c r="B345" s="1">
        <v>45990</v>
      </c>
      <c r="C345" t="s">
        <v>14</v>
      </c>
      <c r="D345" t="s">
        <v>15</v>
      </c>
      <c r="E345" t="s">
        <v>47</v>
      </c>
      <c r="F345">
        <v>445.68</v>
      </c>
      <c r="G345">
        <v>3</v>
      </c>
      <c r="H345">
        <v>0</v>
      </c>
      <c r="I345">
        <v>4</v>
      </c>
    </row>
    <row r="346" spans="1:9" x14ac:dyDescent="0.2">
      <c r="A346" t="s">
        <v>386</v>
      </c>
      <c r="B346" s="1">
        <v>45741</v>
      </c>
      <c r="C346" t="s">
        <v>54</v>
      </c>
      <c r="D346" t="s">
        <v>15</v>
      </c>
      <c r="E346" t="s">
        <v>56</v>
      </c>
      <c r="F346">
        <v>367.92</v>
      </c>
      <c r="G346">
        <v>2</v>
      </c>
      <c r="H346">
        <v>0</v>
      </c>
      <c r="I346">
        <v>4</v>
      </c>
    </row>
    <row r="347" spans="1:9" x14ac:dyDescent="0.2">
      <c r="A347" t="s">
        <v>387</v>
      </c>
      <c r="B347" s="1">
        <v>45729</v>
      </c>
      <c r="C347" t="s">
        <v>24</v>
      </c>
      <c r="D347" t="s">
        <v>15</v>
      </c>
      <c r="E347" t="s">
        <v>22</v>
      </c>
      <c r="F347">
        <v>483.66</v>
      </c>
      <c r="G347">
        <v>1</v>
      </c>
      <c r="H347">
        <v>0.15</v>
      </c>
      <c r="I347">
        <v>5</v>
      </c>
    </row>
    <row r="348" spans="1:9" x14ac:dyDescent="0.2">
      <c r="A348" t="s">
        <v>388</v>
      </c>
      <c r="B348" s="1">
        <v>45966</v>
      </c>
      <c r="C348" t="s">
        <v>43</v>
      </c>
      <c r="D348" t="s">
        <v>15</v>
      </c>
      <c r="E348" t="s">
        <v>47</v>
      </c>
      <c r="F348">
        <v>418.01</v>
      </c>
      <c r="G348">
        <v>1</v>
      </c>
      <c r="H348">
        <v>0</v>
      </c>
      <c r="I348">
        <v>4</v>
      </c>
    </row>
    <row r="349" spans="1:9" x14ac:dyDescent="0.2">
      <c r="A349" t="s">
        <v>389</v>
      </c>
      <c r="B349" s="1">
        <v>45917</v>
      </c>
      <c r="C349" t="s">
        <v>29</v>
      </c>
      <c r="D349" t="s">
        <v>15</v>
      </c>
      <c r="E349" t="s">
        <v>18</v>
      </c>
      <c r="F349">
        <v>385.93</v>
      </c>
      <c r="G349">
        <v>2</v>
      </c>
      <c r="H349">
        <v>0.2</v>
      </c>
      <c r="I349">
        <v>5</v>
      </c>
    </row>
    <row r="350" spans="1:9" x14ac:dyDescent="0.2">
      <c r="A350" t="s">
        <v>390</v>
      </c>
      <c r="B350" s="1">
        <v>46005</v>
      </c>
      <c r="C350" t="s">
        <v>50</v>
      </c>
      <c r="D350" t="s">
        <v>11</v>
      </c>
      <c r="E350" t="s">
        <v>18</v>
      </c>
      <c r="F350">
        <v>1356.33</v>
      </c>
      <c r="G350">
        <v>1</v>
      </c>
      <c r="H350">
        <v>0.2</v>
      </c>
      <c r="I350">
        <v>2</v>
      </c>
    </row>
    <row r="351" spans="1:9" x14ac:dyDescent="0.2">
      <c r="A351" t="s">
        <v>391</v>
      </c>
      <c r="B351" s="1">
        <v>45969</v>
      </c>
      <c r="C351" t="s">
        <v>17</v>
      </c>
      <c r="D351" t="s">
        <v>11</v>
      </c>
      <c r="E351" t="s">
        <v>39</v>
      </c>
      <c r="G351">
        <v>5</v>
      </c>
      <c r="H351">
        <v>0</v>
      </c>
      <c r="I351">
        <v>4</v>
      </c>
    </row>
    <row r="352" spans="1:9" x14ac:dyDescent="0.2">
      <c r="A352" t="s">
        <v>392</v>
      </c>
      <c r="B352" s="1">
        <v>45945</v>
      </c>
      <c r="C352" t="s">
        <v>32</v>
      </c>
      <c r="D352" t="s">
        <v>21</v>
      </c>
      <c r="E352" t="s">
        <v>39</v>
      </c>
      <c r="F352">
        <v>1393.54</v>
      </c>
      <c r="G352">
        <v>3</v>
      </c>
      <c r="H352">
        <v>0</v>
      </c>
      <c r="I352">
        <v>3</v>
      </c>
    </row>
    <row r="353" spans="1:9" x14ac:dyDescent="0.2">
      <c r="A353" t="s">
        <v>393</v>
      </c>
      <c r="B353" s="1">
        <v>45925</v>
      </c>
      <c r="C353" t="s">
        <v>54</v>
      </c>
      <c r="D353" t="s">
        <v>15</v>
      </c>
      <c r="E353" t="s">
        <v>30</v>
      </c>
      <c r="F353">
        <v>383.15</v>
      </c>
      <c r="G353">
        <v>2</v>
      </c>
      <c r="H353">
        <v>0.15</v>
      </c>
    </row>
    <row r="354" spans="1:9" x14ac:dyDescent="0.2">
      <c r="A354" t="s">
        <v>394</v>
      </c>
      <c r="B354" s="1">
        <v>46005</v>
      </c>
      <c r="C354" t="s">
        <v>10</v>
      </c>
      <c r="D354" t="s">
        <v>11</v>
      </c>
      <c r="E354" t="s">
        <v>39</v>
      </c>
      <c r="F354">
        <v>852.46</v>
      </c>
      <c r="G354">
        <v>1</v>
      </c>
      <c r="H354">
        <v>0</v>
      </c>
      <c r="I354">
        <v>3</v>
      </c>
    </row>
    <row r="355" spans="1:9" x14ac:dyDescent="0.2">
      <c r="A355" t="s">
        <v>395</v>
      </c>
      <c r="B355" s="1">
        <v>46022</v>
      </c>
      <c r="C355" t="s">
        <v>10</v>
      </c>
      <c r="D355" t="s">
        <v>11</v>
      </c>
      <c r="E355" t="s">
        <v>12</v>
      </c>
      <c r="F355">
        <v>868.13</v>
      </c>
      <c r="G355">
        <v>5</v>
      </c>
      <c r="H355">
        <v>0</v>
      </c>
      <c r="I355">
        <v>4</v>
      </c>
    </row>
    <row r="356" spans="1:9" x14ac:dyDescent="0.2">
      <c r="A356" t="s">
        <v>396</v>
      </c>
      <c r="B356" s="1">
        <v>45834</v>
      </c>
      <c r="C356" t="s">
        <v>24</v>
      </c>
      <c r="D356" t="s">
        <v>15</v>
      </c>
      <c r="E356" t="s">
        <v>12</v>
      </c>
      <c r="F356">
        <v>403.72</v>
      </c>
      <c r="G356">
        <v>2</v>
      </c>
      <c r="H356">
        <v>0</v>
      </c>
      <c r="I356">
        <v>5</v>
      </c>
    </row>
    <row r="357" spans="1:9" x14ac:dyDescent="0.2">
      <c r="A357" t="s">
        <v>397</v>
      </c>
      <c r="B357" s="1">
        <v>45941</v>
      </c>
      <c r="C357" t="s">
        <v>34</v>
      </c>
      <c r="D357" t="s">
        <v>11</v>
      </c>
      <c r="E357" t="s">
        <v>18</v>
      </c>
      <c r="F357">
        <v>1274.7</v>
      </c>
      <c r="G357">
        <v>5</v>
      </c>
      <c r="H357">
        <v>0</v>
      </c>
      <c r="I357">
        <v>3</v>
      </c>
    </row>
    <row r="358" spans="1:9" x14ac:dyDescent="0.2">
      <c r="A358" t="s">
        <v>154</v>
      </c>
      <c r="B358" s="1">
        <v>46010</v>
      </c>
      <c r="C358" t="s">
        <v>41</v>
      </c>
      <c r="D358" t="s">
        <v>11</v>
      </c>
      <c r="E358" t="s">
        <v>18</v>
      </c>
      <c r="F358">
        <v>1313.42</v>
      </c>
      <c r="G358">
        <v>1</v>
      </c>
      <c r="H358">
        <v>0</v>
      </c>
      <c r="I358">
        <v>1</v>
      </c>
    </row>
    <row r="359" spans="1:9" x14ac:dyDescent="0.2">
      <c r="A359" t="s">
        <v>398</v>
      </c>
      <c r="B359" s="1">
        <v>45853</v>
      </c>
      <c r="C359" t="s">
        <v>10</v>
      </c>
      <c r="D359" t="s">
        <v>11</v>
      </c>
      <c r="E359" t="s">
        <v>56</v>
      </c>
      <c r="F359">
        <v>1028.92</v>
      </c>
      <c r="G359">
        <v>3</v>
      </c>
      <c r="H359">
        <v>0.1</v>
      </c>
    </row>
    <row r="360" spans="1:9" x14ac:dyDescent="0.2">
      <c r="A360" t="s">
        <v>399</v>
      </c>
      <c r="B360" s="1">
        <v>45802</v>
      </c>
      <c r="C360" t="s">
        <v>41</v>
      </c>
      <c r="D360" t="s">
        <v>11</v>
      </c>
      <c r="E360" t="s">
        <v>56</v>
      </c>
      <c r="F360">
        <v>1182.52</v>
      </c>
      <c r="G360">
        <v>2</v>
      </c>
      <c r="H360">
        <v>0.15</v>
      </c>
      <c r="I360">
        <v>5</v>
      </c>
    </row>
    <row r="361" spans="1:9" x14ac:dyDescent="0.2">
      <c r="A361" t="s">
        <v>400</v>
      </c>
      <c r="B361" s="1">
        <v>45772</v>
      </c>
      <c r="C361" t="s">
        <v>34</v>
      </c>
      <c r="D361" t="s">
        <v>11</v>
      </c>
      <c r="F361">
        <v>1536.67</v>
      </c>
      <c r="G361">
        <v>1</v>
      </c>
      <c r="H361">
        <v>0.2</v>
      </c>
      <c r="I361">
        <v>1</v>
      </c>
    </row>
    <row r="362" spans="1:9" x14ac:dyDescent="0.2">
      <c r="A362" t="s">
        <v>401</v>
      </c>
      <c r="B362" s="1">
        <v>45906</v>
      </c>
      <c r="C362" t="s">
        <v>43</v>
      </c>
      <c r="D362" t="s">
        <v>15</v>
      </c>
      <c r="E362" t="s">
        <v>39</v>
      </c>
      <c r="F362">
        <v>401.69</v>
      </c>
      <c r="G362">
        <v>2</v>
      </c>
      <c r="H362">
        <v>0.15</v>
      </c>
      <c r="I362">
        <v>3</v>
      </c>
    </row>
    <row r="363" spans="1:9" x14ac:dyDescent="0.2">
      <c r="A363" t="s">
        <v>402</v>
      </c>
      <c r="B363" s="1">
        <v>45709</v>
      </c>
      <c r="C363" t="s">
        <v>37</v>
      </c>
      <c r="D363" t="s">
        <v>11</v>
      </c>
      <c r="E363" t="s">
        <v>18</v>
      </c>
      <c r="F363">
        <v>1194.98</v>
      </c>
      <c r="G363">
        <v>1</v>
      </c>
      <c r="H363">
        <v>0.2</v>
      </c>
      <c r="I363">
        <v>5</v>
      </c>
    </row>
    <row r="364" spans="1:9" x14ac:dyDescent="0.2">
      <c r="A364" t="s">
        <v>403</v>
      </c>
      <c r="B364" s="1">
        <v>45738</v>
      </c>
      <c r="C364" t="s">
        <v>34</v>
      </c>
      <c r="D364" t="s">
        <v>11</v>
      </c>
      <c r="E364" t="s">
        <v>47</v>
      </c>
      <c r="F364">
        <v>1483.03</v>
      </c>
      <c r="G364">
        <v>5</v>
      </c>
      <c r="H364">
        <v>0.2</v>
      </c>
      <c r="I364">
        <v>5</v>
      </c>
    </row>
    <row r="365" spans="1:9" x14ac:dyDescent="0.2">
      <c r="A365" t="s">
        <v>404</v>
      </c>
      <c r="B365" s="1">
        <v>45686</v>
      </c>
      <c r="C365" t="s">
        <v>41</v>
      </c>
      <c r="D365" t="s">
        <v>11</v>
      </c>
      <c r="E365" t="s">
        <v>12</v>
      </c>
      <c r="F365">
        <v>1461.96</v>
      </c>
      <c r="G365">
        <v>2</v>
      </c>
      <c r="H365">
        <v>0.15</v>
      </c>
      <c r="I365">
        <v>5</v>
      </c>
    </row>
    <row r="366" spans="1:9" x14ac:dyDescent="0.2">
      <c r="A366" t="s">
        <v>405</v>
      </c>
      <c r="B366" s="1">
        <v>45836</v>
      </c>
      <c r="C366" t="s">
        <v>37</v>
      </c>
      <c r="D366" t="s">
        <v>11</v>
      </c>
      <c r="E366" t="s">
        <v>22</v>
      </c>
      <c r="F366">
        <v>1181.5</v>
      </c>
      <c r="G366">
        <v>5</v>
      </c>
      <c r="H366">
        <v>0</v>
      </c>
      <c r="I366">
        <v>5</v>
      </c>
    </row>
    <row r="367" spans="1:9" x14ac:dyDescent="0.2">
      <c r="A367" t="s">
        <v>406</v>
      </c>
      <c r="B367" s="1">
        <v>45946</v>
      </c>
      <c r="C367" t="s">
        <v>14</v>
      </c>
      <c r="D367" t="s">
        <v>15</v>
      </c>
      <c r="E367" t="s">
        <v>12</v>
      </c>
      <c r="F367" t="s">
        <v>407</v>
      </c>
      <c r="G367">
        <v>10</v>
      </c>
      <c r="H367">
        <v>0.2</v>
      </c>
      <c r="I367">
        <v>5</v>
      </c>
    </row>
    <row r="368" spans="1:9" x14ac:dyDescent="0.2">
      <c r="A368" t="s">
        <v>408</v>
      </c>
      <c r="B368" s="1">
        <v>45924</v>
      </c>
      <c r="C368" t="s">
        <v>41</v>
      </c>
      <c r="D368" t="s">
        <v>11</v>
      </c>
      <c r="E368" t="s">
        <v>18</v>
      </c>
      <c r="F368">
        <v>1227.4100000000001</v>
      </c>
      <c r="G368">
        <v>10</v>
      </c>
      <c r="H368">
        <v>0</v>
      </c>
    </row>
    <row r="369" spans="1:9" x14ac:dyDescent="0.2">
      <c r="A369" t="s">
        <v>409</v>
      </c>
      <c r="B369" s="1">
        <v>45793</v>
      </c>
      <c r="C369" t="s">
        <v>34</v>
      </c>
      <c r="D369" t="s">
        <v>11</v>
      </c>
      <c r="E369" t="s">
        <v>30</v>
      </c>
      <c r="F369">
        <v>1009.8</v>
      </c>
      <c r="G369">
        <v>1</v>
      </c>
      <c r="H369">
        <v>0</v>
      </c>
      <c r="I369">
        <v>5</v>
      </c>
    </row>
    <row r="370" spans="1:9" x14ac:dyDescent="0.2">
      <c r="A370" t="s">
        <v>410</v>
      </c>
      <c r="B370" s="1">
        <v>45885</v>
      </c>
      <c r="C370" t="s">
        <v>26</v>
      </c>
      <c r="D370" t="s">
        <v>27</v>
      </c>
      <c r="E370" t="s">
        <v>39</v>
      </c>
      <c r="F370">
        <v>601.66999999999996</v>
      </c>
      <c r="G370">
        <v>1</v>
      </c>
      <c r="H370">
        <v>0</v>
      </c>
      <c r="I370">
        <v>5</v>
      </c>
    </row>
    <row r="371" spans="1:9" x14ac:dyDescent="0.2">
      <c r="A371" t="s">
        <v>411</v>
      </c>
      <c r="B371" s="1">
        <v>45760</v>
      </c>
      <c r="C371" t="s">
        <v>26</v>
      </c>
      <c r="D371" t="s">
        <v>27</v>
      </c>
      <c r="E371" t="s">
        <v>47</v>
      </c>
      <c r="F371">
        <v>383.41</v>
      </c>
      <c r="G371">
        <v>1</v>
      </c>
      <c r="H371">
        <v>0.2</v>
      </c>
    </row>
    <row r="372" spans="1:9" x14ac:dyDescent="0.2">
      <c r="A372" t="s">
        <v>412</v>
      </c>
      <c r="B372" s="1">
        <v>45688</v>
      </c>
      <c r="C372" t="s">
        <v>14</v>
      </c>
      <c r="D372" t="s">
        <v>15</v>
      </c>
      <c r="E372" t="s">
        <v>18</v>
      </c>
      <c r="F372">
        <v>250.44</v>
      </c>
      <c r="G372">
        <v>10</v>
      </c>
      <c r="H372">
        <v>0.2</v>
      </c>
      <c r="I372">
        <v>5</v>
      </c>
    </row>
    <row r="373" spans="1:9" x14ac:dyDescent="0.2">
      <c r="A373" t="s">
        <v>413</v>
      </c>
      <c r="B373" s="1">
        <v>45959</v>
      </c>
      <c r="C373" t="s">
        <v>20</v>
      </c>
      <c r="D373" t="s">
        <v>21</v>
      </c>
      <c r="E373" t="s">
        <v>12</v>
      </c>
      <c r="G373">
        <v>3</v>
      </c>
      <c r="H373">
        <v>0.2</v>
      </c>
      <c r="I373">
        <v>5</v>
      </c>
    </row>
    <row r="374" spans="1:9" x14ac:dyDescent="0.2">
      <c r="A374" t="s">
        <v>414</v>
      </c>
      <c r="B374" s="1">
        <v>45885</v>
      </c>
      <c r="C374" t="s">
        <v>14</v>
      </c>
      <c r="D374" t="s">
        <v>15</v>
      </c>
      <c r="E374" t="s">
        <v>39</v>
      </c>
      <c r="F374">
        <v>326.58</v>
      </c>
      <c r="G374">
        <v>1</v>
      </c>
      <c r="H374">
        <v>0</v>
      </c>
      <c r="I374">
        <v>5</v>
      </c>
    </row>
    <row r="375" spans="1:9" x14ac:dyDescent="0.2">
      <c r="A375" t="s">
        <v>415</v>
      </c>
      <c r="B375" s="1">
        <v>46003</v>
      </c>
      <c r="C375" t="s">
        <v>50</v>
      </c>
      <c r="D375" t="s">
        <v>11</v>
      </c>
      <c r="E375" t="s">
        <v>56</v>
      </c>
      <c r="G375">
        <v>2</v>
      </c>
      <c r="H375">
        <v>0.1</v>
      </c>
      <c r="I375">
        <v>2</v>
      </c>
    </row>
    <row r="376" spans="1:9" x14ac:dyDescent="0.2">
      <c r="A376" t="s">
        <v>416</v>
      </c>
      <c r="B376" s="1">
        <v>46022</v>
      </c>
      <c r="C376" t="s">
        <v>32</v>
      </c>
      <c r="D376" t="s">
        <v>21</v>
      </c>
      <c r="F376">
        <v>2050.63</v>
      </c>
      <c r="G376">
        <v>2</v>
      </c>
      <c r="H376">
        <v>0</v>
      </c>
      <c r="I376">
        <v>5</v>
      </c>
    </row>
    <row r="377" spans="1:9" x14ac:dyDescent="0.2">
      <c r="A377" t="s">
        <v>417</v>
      </c>
      <c r="B377" s="1">
        <v>45740</v>
      </c>
      <c r="C377" t="s">
        <v>78</v>
      </c>
      <c r="D377" t="s">
        <v>11</v>
      </c>
      <c r="E377" t="s">
        <v>18</v>
      </c>
      <c r="F377">
        <v>1569.13</v>
      </c>
      <c r="G377">
        <v>10</v>
      </c>
      <c r="H377">
        <v>0.15</v>
      </c>
      <c r="I377">
        <v>5</v>
      </c>
    </row>
    <row r="378" spans="1:9" x14ac:dyDescent="0.2">
      <c r="A378" t="s">
        <v>418</v>
      </c>
      <c r="B378" s="1">
        <v>46007</v>
      </c>
      <c r="C378" t="s">
        <v>24</v>
      </c>
      <c r="D378" t="s">
        <v>15</v>
      </c>
      <c r="E378" t="s">
        <v>47</v>
      </c>
      <c r="F378">
        <v>262.87</v>
      </c>
      <c r="G378">
        <v>1</v>
      </c>
      <c r="H378">
        <v>0.1</v>
      </c>
      <c r="I378">
        <v>2</v>
      </c>
    </row>
    <row r="379" spans="1:9" x14ac:dyDescent="0.2">
      <c r="A379" t="s">
        <v>419</v>
      </c>
      <c r="B379" s="1">
        <v>45719</v>
      </c>
      <c r="C379" t="s">
        <v>43</v>
      </c>
      <c r="D379" t="s">
        <v>15</v>
      </c>
      <c r="E379" t="s">
        <v>30</v>
      </c>
      <c r="F379" t="s">
        <v>420</v>
      </c>
      <c r="G379">
        <v>2</v>
      </c>
      <c r="H379">
        <v>0</v>
      </c>
      <c r="I379">
        <v>2</v>
      </c>
    </row>
    <row r="380" spans="1:9" x14ac:dyDescent="0.2">
      <c r="A380" t="s">
        <v>421</v>
      </c>
      <c r="B380" s="1">
        <v>46014</v>
      </c>
      <c r="C380" t="s">
        <v>24</v>
      </c>
      <c r="D380" t="s">
        <v>15</v>
      </c>
      <c r="G380">
        <v>2</v>
      </c>
      <c r="H380">
        <v>0.15</v>
      </c>
      <c r="I380">
        <v>3</v>
      </c>
    </row>
    <row r="381" spans="1:9" x14ac:dyDescent="0.2">
      <c r="A381" t="s">
        <v>422</v>
      </c>
      <c r="B381" s="1">
        <v>45897</v>
      </c>
      <c r="C381" t="s">
        <v>14</v>
      </c>
      <c r="D381" t="s">
        <v>15</v>
      </c>
      <c r="E381" t="s">
        <v>56</v>
      </c>
      <c r="G381">
        <v>2</v>
      </c>
      <c r="H381">
        <v>0.2</v>
      </c>
      <c r="I381">
        <v>5</v>
      </c>
    </row>
    <row r="382" spans="1:9" x14ac:dyDescent="0.2">
      <c r="A382" t="s">
        <v>423</v>
      </c>
      <c r="B382" s="1">
        <v>45852</v>
      </c>
      <c r="C382" t="s">
        <v>37</v>
      </c>
      <c r="D382" t="s">
        <v>11</v>
      </c>
      <c r="E382" t="s">
        <v>22</v>
      </c>
      <c r="F382">
        <v>993.29</v>
      </c>
      <c r="G382">
        <v>5</v>
      </c>
      <c r="H382">
        <v>0.15</v>
      </c>
      <c r="I382">
        <v>5</v>
      </c>
    </row>
    <row r="383" spans="1:9" x14ac:dyDescent="0.2">
      <c r="A383" t="s">
        <v>424</v>
      </c>
      <c r="B383" s="1">
        <v>45747</v>
      </c>
      <c r="C383" t="s">
        <v>50</v>
      </c>
      <c r="D383" t="s">
        <v>11</v>
      </c>
      <c r="E383" t="s">
        <v>56</v>
      </c>
      <c r="F383">
        <v>986.52</v>
      </c>
      <c r="G383">
        <v>10</v>
      </c>
      <c r="H383">
        <v>0.15</v>
      </c>
      <c r="I383">
        <v>5</v>
      </c>
    </row>
    <row r="384" spans="1:9" x14ac:dyDescent="0.2">
      <c r="A384" t="s">
        <v>425</v>
      </c>
      <c r="B384" s="1">
        <v>45802</v>
      </c>
      <c r="C384" t="s">
        <v>14</v>
      </c>
      <c r="D384" t="s">
        <v>15</v>
      </c>
      <c r="E384" t="s">
        <v>12</v>
      </c>
      <c r="F384">
        <v>334.76</v>
      </c>
      <c r="G384">
        <v>5</v>
      </c>
      <c r="H384">
        <v>0.15</v>
      </c>
    </row>
    <row r="385" spans="1:9" x14ac:dyDescent="0.2">
      <c r="A385" t="s">
        <v>426</v>
      </c>
      <c r="B385" s="1">
        <v>45903</v>
      </c>
      <c r="C385" t="s">
        <v>29</v>
      </c>
      <c r="D385" t="s">
        <v>15</v>
      </c>
      <c r="E385" t="s">
        <v>56</v>
      </c>
      <c r="F385">
        <v>188.87</v>
      </c>
      <c r="G385">
        <v>2</v>
      </c>
      <c r="H385">
        <v>0.2</v>
      </c>
      <c r="I385">
        <v>4</v>
      </c>
    </row>
    <row r="386" spans="1:9" x14ac:dyDescent="0.2">
      <c r="A386" t="s">
        <v>427</v>
      </c>
      <c r="B386" s="1">
        <v>45760</v>
      </c>
      <c r="C386" t="s">
        <v>20</v>
      </c>
      <c r="D386" t="s">
        <v>21</v>
      </c>
      <c r="E386" t="s">
        <v>56</v>
      </c>
      <c r="F386">
        <v>1502.2</v>
      </c>
      <c r="G386">
        <v>1</v>
      </c>
      <c r="H386">
        <v>0</v>
      </c>
      <c r="I386">
        <v>5</v>
      </c>
    </row>
    <row r="387" spans="1:9" x14ac:dyDescent="0.2">
      <c r="A387" t="s">
        <v>428</v>
      </c>
      <c r="B387" s="1">
        <v>45765</v>
      </c>
      <c r="C387" t="s">
        <v>43</v>
      </c>
      <c r="D387" t="s">
        <v>15</v>
      </c>
      <c r="F387">
        <v>327.06</v>
      </c>
      <c r="G387">
        <v>5</v>
      </c>
      <c r="H387">
        <v>0.15</v>
      </c>
      <c r="I387">
        <v>5</v>
      </c>
    </row>
    <row r="388" spans="1:9" x14ac:dyDescent="0.2">
      <c r="A388" t="s">
        <v>429</v>
      </c>
      <c r="B388" s="1">
        <v>45926</v>
      </c>
      <c r="C388" t="s">
        <v>78</v>
      </c>
      <c r="D388" t="s">
        <v>11</v>
      </c>
      <c r="E388" t="s">
        <v>56</v>
      </c>
      <c r="F388">
        <v>814.45</v>
      </c>
      <c r="G388">
        <v>1</v>
      </c>
      <c r="H388">
        <v>0</v>
      </c>
      <c r="I388">
        <v>1</v>
      </c>
    </row>
    <row r="389" spans="1:9" x14ac:dyDescent="0.2">
      <c r="A389" t="s">
        <v>430</v>
      </c>
      <c r="B389" s="1">
        <v>45795</v>
      </c>
      <c r="C389" t="s">
        <v>20</v>
      </c>
      <c r="D389" t="s">
        <v>21</v>
      </c>
      <c r="E389" t="s">
        <v>12</v>
      </c>
      <c r="F389" t="s">
        <v>431</v>
      </c>
      <c r="G389">
        <v>1</v>
      </c>
      <c r="H389">
        <v>0</v>
      </c>
      <c r="I389">
        <v>2</v>
      </c>
    </row>
    <row r="390" spans="1:9" x14ac:dyDescent="0.2">
      <c r="A390" t="s">
        <v>432</v>
      </c>
      <c r="B390" s="1">
        <v>45725</v>
      </c>
      <c r="C390" t="s">
        <v>24</v>
      </c>
      <c r="D390" t="s">
        <v>15</v>
      </c>
      <c r="E390" t="s">
        <v>18</v>
      </c>
      <c r="F390">
        <v>295.83</v>
      </c>
      <c r="G390">
        <v>5</v>
      </c>
      <c r="H390">
        <v>0.15</v>
      </c>
      <c r="I390">
        <v>5</v>
      </c>
    </row>
    <row r="391" spans="1:9" x14ac:dyDescent="0.2">
      <c r="A391" t="s">
        <v>433</v>
      </c>
      <c r="B391" s="1">
        <v>45762</v>
      </c>
      <c r="C391" t="s">
        <v>14</v>
      </c>
      <c r="D391" t="s">
        <v>15</v>
      </c>
      <c r="E391" t="s">
        <v>22</v>
      </c>
      <c r="F391">
        <v>411.06</v>
      </c>
      <c r="G391">
        <v>3</v>
      </c>
      <c r="H391">
        <v>0.15</v>
      </c>
      <c r="I391">
        <v>3</v>
      </c>
    </row>
    <row r="392" spans="1:9" x14ac:dyDescent="0.2">
      <c r="A392" t="s">
        <v>434</v>
      </c>
      <c r="B392" s="1">
        <v>45995</v>
      </c>
      <c r="C392" t="s">
        <v>50</v>
      </c>
      <c r="D392" t="s">
        <v>11</v>
      </c>
      <c r="E392" t="s">
        <v>56</v>
      </c>
      <c r="G392">
        <v>2</v>
      </c>
      <c r="H392">
        <v>0.1</v>
      </c>
      <c r="I392">
        <v>1</v>
      </c>
    </row>
    <row r="393" spans="1:9" x14ac:dyDescent="0.2">
      <c r="A393" t="s">
        <v>435</v>
      </c>
      <c r="B393" s="1">
        <v>45658</v>
      </c>
      <c r="C393" t="s">
        <v>29</v>
      </c>
      <c r="D393" t="s">
        <v>15</v>
      </c>
      <c r="E393" t="s">
        <v>22</v>
      </c>
      <c r="F393">
        <v>373.01</v>
      </c>
      <c r="G393">
        <v>2</v>
      </c>
      <c r="H393">
        <v>0</v>
      </c>
      <c r="I393">
        <v>5</v>
      </c>
    </row>
    <row r="394" spans="1:9" x14ac:dyDescent="0.2">
      <c r="A394" t="s">
        <v>436</v>
      </c>
      <c r="B394" s="1">
        <v>45988</v>
      </c>
      <c r="C394" t="s">
        <v>26</v>
      </c>
      <c r="D394" t="s">
        <v>27</v>
      </c>
      <c r="E394" t="s">
        <v>39</v>
      </c>
      <c r="F394">
        <v>562.16999999999996</v>
      </c>
      <c r="G394">
        <v>1</v>
      </c>
      <c r="H394">
        <v>0</v>
      </c>
      <c r="I394">
        <v>5</v>
      </c>
    </row>
    <row r="395" spans="1:9" x14ac:dyDescent="0.2">
      <c r="A395" t="s">
        <v>437</v>
      </c>
      <c r="B395" s="1">
        <v>45838</v>
      </c>
      <c r="C395" t="s">
        <v>29</v>
      </c>
      <c r="D395" t="s">
        <v>15</v>
      </c>
      <c r="E395" t="s">
        <v>12</v>
      </c>
      <c r="F395">
        <v>317.02999999999997</v>
      </c>
      <c r="G395">
        <v>-1</v>
      </c>
      <c r="H395">
        <v>0</v>
      </c>
      <c r="I395">
        <v>1</v>
      </c>
    </row>
    <row r="396" spans="1:9" x14ac:dyDescent="0.2">
      <c r="A396" t="s">
        <v>438</v>
      </c>
      <c r="B396" s="1">
        <v>45740</v>
      </c>
      <c r="C396" t="s">
        <v>78</v>
      </c>
      <c r="D396" t="s">
        <v>11</v>
      </c>
      <c r="E396" t="s">
        <v>56</v>
      </c>
      <c r="F396">
        <v>1281.8800000000001</v>
      </c>
      <c r="G396">
        <v>3</v>
      </c>
      <c r="H396">
        <v>0.1</v>
      </c>
      <c r="I396">
        <v>5</v>
      </c>
    </row>
    <row r="397" spans="1:9" x14ac:dyDescent="0.2">
      <c r="A397" t="s">
        <v>439</v>
      </c>
      <c r="B397" s="1">
        <v>45916</v>
      </c>
      <c r="C397" t="s">
        <v>50</v>
      </c>
      <c r="D397" t="s">
        <v>11</v>
      </c>
      <c r="E397" t="s">
        <v>56</v>
      </c>
      <c r="F397">
        <v>1119.4100000000001</v>
      </c>
      <c r="G397">
        <v>1</v>
      </c>
      <c r="H397">
        <v>0.2</v>
      </c>
      <c r="I397">
        <v>5</v>
      </c>
    </row>
    <row r="398" spans="1:9" x14ac:dyDescent="0.2">
      <c r="A398" t="s">
        <v>440</v>
      </c>
      <c r="B398" s="1">
        <v>45901</v>
      </c>
      <c r="C398" t="s">
        <v>24</v>
      </c>
      <c r="D398" t="s">
        <v>15</v>
      </c>
      <c r="E398" t="s">
        <v>47</v>
      </c>
      <c r="G398">
        <v>1</v>
      </c>
      <c r="H398">
        <v>0</v>
      </c>
      <c r="I398">
        <v>5</v>
      </c>
    </row>
    <row r="399" spans="1:9" x14ac:dyDescent="0.2">
      <c r="A399" t="s">
        <v>441</v>
      </c>
      <c r="B399" s="1">
        <v>45734</v>
      </c>
      <c r="C399" t="s">
        <v>24</v>
      </c>
      <c r="D399" t="s">
        <v>15</v>
      </c>
      <c r="E399" t="s">
        <v>22</v>
      </c>
      <c r="F399">
        <v>314.20999999999998</v>
      </c>
      <c r="G399">
        <v>1</v>
      </c>
      <c r="H399">
        <v>0</v>
      </c>
    </row>
    <row r="400" spans="1:9" x14ac:dyDescent="0.2">
      <c r="A400" t="s">
        <v>442</v>
      </c>
      <c r="B400" s="1">
        <v>45877</v>
      </c>
      <c r="C400" t="s">
        <v>37</v>
      </c>
      <c r="D400" t="s">
        <v>11</v>
      </c>
      <c r="E400" t="s">
        <v>39</v>
      </c>
      <c r="F400">
        <v>1474.28</v>
      </c>
      <c r="G400">
        <v>1</v>
      </c>
      <c r="H400">
        <v>0.1</v>
      </c>
      <c r="I400">
        <v>3</v>
      </c>
    </row>
    <row r="401" spans="1:9" x14ac:dyDescent="0.2">
      <c r="A401" t="s">
        <v>443</v>
      </c>
      <c r="B401" s="1">
        <v>45852</v>
      </c>
      <c r="C401" t="s">
        <v>34</v>
      </c>
      <c r="D401" t="s">
        <v>11</v>
      </c>
      <c r="E401" t="s">
        <v>18</v>
      </c>
      <c r="F401">
        <v>1380.46</v>
      </c>
      <c r="G401">
        <v>3</v>
      </c>
      <c r="H401">
        <v>0</v>
      </c>
      <c r="I401">
        <v>5</v>
      </c>
    </row>
    <row r="402" spans="1:9" x14ac:dyDescent="0.2">
      <c r="A402" t="s">
        <v>444</v>
      </c>
      <c r="B402" s="1">
        <v>45978</v>
      </c>
      <c r="C402" t="s">
        <v>26</v>
      </c>
      <c r="D402" t="s">
        <v>27</v>
      </c>
      <c r="E402" t="s">
        <v>18</v>
      </c>
      <c r="F402">
        <v>501.52</v>
      </c>
      <c r="G402">
        <v>2</v>
      </c>
      <c r="H402">
        <v>0.1</v>
      </c>
      <c r="I402">
        <v>2</v>
      </c>
    </row>
    <row r="403" spans="1:9" x14ac:dyDescent="0.2">
      <c r="A403" t="s">
        <v>445</v>
      </c>
      <c r="B403" s="1">
        <v>45950</v>
      </c>
      <c r="C403" t="s">
        <v>26</v>
      </c>
      <c r="D403" t="s">
        <v>27</v>
      </c>
      <c r="E403" t="s">
        <v>30</v>
      </c>
      <c r="F403">
        <v>530.79</v>
      </c>
      <c r="G403">
        <v>1</v>
      </c>
      <c r="H403">
        <v>0.2</v>
      </c>
      <c r="I403">
        <v>5</v>
      </c>
    </row>
    <row r="404" spans="1:9" x14ac:dyDescent="0.2">
      <c r="A404" t="s">
        <v>446</v>
      </c>
      <c r="B404" s="1">
        <v>45781</v>
      </c>
      <c r="C404" t="s">
        <v>17</v>
      </c>
      <c r="D404" t="s">
        <v>11</v>
      </c>
      <c r="E404" t="s">
        <v>22</v>
      </c>
      <c r="F404">
        <v>1017.81</v>
      </c>
      <c r="G404">
        <v>2</v>
      </c>
      <c r="H404">
        <v>0.15</v>
      </c>
      <c r="I404">
        <v>5</v>
      </c>
    </row>
    <row r="405" spans="1:9" x14ac:dyDescent="0.2">
      <c r="A405" t="s">
        <v>447</v>
      </c>
      <c r="B405" s="1">
        <v>46017</v>
      </c>
      <c r="C405" t="s">
        <v>10</v>
      </c>
      <c r="D405" t="s">
        <v>11</v>
      </c>
      <c r="E405" t="s">
        <v>18</v>
      </c>
      <c r="F405">
        <v>801.24</v>
      </c>
      <c r="G405">
        <v>1</v>
      </c>
      <c r="H405">
        <v>0</v>
      </c>
      <c r="I405">
        <v>4</v>
      </c>
    </row>
    <row r="406" spans="1:9" x14ac:dyDescent="0.2">
      <c r="A406" t="s">
        <v>448</v>
      </c>
      <c r="B406" s="1">
        <v>45921</v>
      </c>
      <c r="C406" t="s">
        <v>32</v>
      </c>
      <c r="D406" t="s">
        <v>21</v>
      </c>
      <c r="E406" t="s">
        <v>47</v>
      </c>
      <c r="F406">
        <v>2224.6</v>
      </c>
      <c r="G406">
        <v>1</v>
      </c>
      <c r="H406">
        <v>0</v>
      </c>
      <c r="I406">
        <v>5</v>
      </c>
    </row>
    <row r="407" spans="1:9" x14ac:dyDescent="0.2">
      <c r="A407" t="s">
        <v>449</v>
      </c>
      <c r="B407" s="1">
        <v>46016</v>
      </c>
      <c r="C407" t="s">
        <v>34</v>
      </c>
      <c r="D407" t="s">
        <v>11</v>
      </c>
      <c r="E407" t="s">
        <v>47</v>
      </c>
      <c r="F407">
        <v>1056.1500000000001</v>
      </c>
      <c r="G407">
        <v>1</v>
      </c>
      <c r="H407">
        <v>0</v>
      </c>
      <c r="I407">
        <v>1</v>
      </c>
    </row>
    <row r="408" spans="1:9" x14ac:dyDescent="0.2">
      <c r="A408" t="s">
        <v>450</v>
      </c>
      <c r="B408" s="1">
        <v>45923</v>
      </c>
      <c r="C408" t="s">
        <v>29</v>
      </c>
      <c r="D408" t="s">
        <v>15</v>
      </c>
      <c r="E408" t="s">
        <v>30</v>
      </c>
      <c r="F408">
        <v>318.5</v>
      </c>
      <c r="G408">
        <v>-1</v>
      </c>
      <c r="H408">
        <v>0.15</v>
      </c>
      <c r="I408">
        <v>5</v>
      </c>
    </row>
    <row r="409" spans="1:9" x14ac:dyDescent="0.2">
      <c r="A409" t="s">
        <v>451</v>
      </c>
      <c r="B409" s="1">
        <v>46004</v>
      </c>
      <c r="C409" t="s">
        <v>17</v>
      </c>
      <c r="D409" t="s">
        <v>11</v>
      </c>
      <c r="E409" t="s">
        <v>56</v>
      </c>
      <c r="F409">
        <v>1643.75</v>
      </c>
      <c r="G409">
        <v>2</v>
      </c>
      <c r="H409">
        <v>0</v>
      </c>
      <c r="I409">
        <v>3</v>
      </c>
    </row>
    <row r="410" spans="1:9" x14ac:dyDescent="0.2">
      <c r="A410" t="s">
        <v>452</v>
      </c>
      <c r="B410" s="1">
        <v>45865</v>
      </c>
      <c r="C410" t="s">
        <v>37</v>
      </c>
      <c r="D410" t="s">
        <v>11</v>
      </c>
      <c r="E410" t="s">
        <v>18</v>
      </c>
      <c r="F410">
        <v>1555.19</v>
      </c>
      <c r="G410">
        <v>10</v>
      </c>
      <c r="H410">
        <v>0.15</v>
      </c>
      <c r="I410">
        <v>4</v>
      </c>
    </row>
    <row r="411" spans="1:9" x14ac:dyDescent="0.2">
      <c r="A411" t="s">
        <v>453</v>
      </c>
      <c r="B411" s="1">
        <v>45802</v>
      </c>
      <c r="C411" t="s">
        <v>43</v>
      </c>
      <c r="D411" t="s">
        <v>15</v>
      </c>
      <c r="E411" t="s">
        <v>39</v>
      </c>
      <c r="F411">
        <v>431.1</v>
      </c>
      <c r="G411">
        <v>10</v>
      </c>
      <c r="H411">
        <v>0</v>
      </c>
      <c r="I411">
        <v>4</v>
      </c>
    </row>
    <row r="412" spans="1:9" x14ac:dyDescent="0.2">
      <c r="A412" t="s">
        <v>454</v>
      </c>
      <c r="B412" s="1">
        <v>45667</v>
      </c>
      <c r="C412" t="s">
        <v>26</v>
      </c>
      <c r="D412" t="s">
        <v>27</v>
      </c>
      <c r="E412" t="s">
        <v>56</v>
      </c>
      <c r="F412">
        <v>611.64</v>
      </c>
      <c r="G412">
        <v>2</v>
      </c>
      <c r="H412">
        <v>0</v>
      </c>
      <c r="I412">
        <v>3</v>
      </c>
    </row>
    <row r="413" spans="1:9" x14ac:dyDescent="0.2">
      <c r="A413" t="s">
        <v>455</v>
      </c>
      <c r="B413" s="1">
        <v>45937</v>
      </c>
      <c r="C413" t="s">
        <v>17</v>
      </c>
      <c r="D413" t="s">
        <v>11</v>
      </c>
      <c r="E413" t="s">
        <v>39</v>
      </c>
      <c r="F413">
        <v>1153.83</v>
      </c>
      <c r="G413">
        <v>2</v>
      </c>
      <c r="H413">
        <v>0.1</v>
      </c>
      <c r="I413">
        <v>4</v>
      </c>
    </row>
    <row r="414" spans="1:9" x14ac:dyDescent="0.2">
      <c r="A414" t="s">
        <v>456</v>
      </c>
      <c r="B414" s="1">
        <v>45708</v>
      </c>
      <c r="C414" t="s">
        <v>50</v>
      </c>
      <c r="D414" t="s">
        <v>11</v>
      </c>
      <c r="E414" t="s">
        <v>39</v>
      </c>
      <c r="F414">
        <v>914.09</v>
      </c>
      <c r="G414">
        <v>2</v>
      </c>
      <c r="H414">
        <v>0.2</v>
      </c>
      <c r="I414">
        <v>4</v>
      </c>
    </row>
    <row r="415" spans="1:9" x14ac:dyDescent="0.2">
      <c r="A415" t="s">
        <v>457</v>
      </c>
      <c r="B415" s="1">
        <v>46015</v>
      </c>
      <c r="C415" t="s">
        <v>17</v>
      </c>
      <c r="D415" t="s">
        <v>11</v>
      </c>
      <c r="E415" t="s">
        <v>18</v>
      </c>
      <c r="F415">
        <v>1260.1199999999999</v>
      </c>
      <c r="G415">
        <v>1</v>
      </c>
      <c r="H415">
        <v>0.2</v>
      </c>
      <c r="I415">
        <v>5</v>
      </c>
    </row>
    <row r="416" spans="1:9" x14ac:dyDescent="0.2">
      <c r="A416" t="s">
        <v>458</v>
      </c>
      <c r="B416" s="1">
        <v>45935</v>
      </c>
      <c r="C416" t="s">
        <v>41</v>
      </c>
      <c r="D416" t="s">
        <v>11</v>
      </c>
      <c r="E416" t="s">
        <v>18</v>
      </c>
      <c r="F416">
        <v>1102.06</v>
      </c>
      <c r="G416">
        <v>1</v>
      </c>
      <c r="H416">
        <v>0.2</v>
      </c>
      <c r="I416">
        <v>5</v>
      </c>
    </row>
    <row r="417" spans="1:9" x14ac:dyDescent="0.2">
      <c r="A417" t="s">
        <v>459</v>
      </c>
      <c r="B417" s="1">
        <v>45899</v>
      </c>
      <c r="C417" t="s">
        <v>54</v>
      </c>
      <c r="D417" t="s">
        <v>15</v>
      </c>
      <c r="E417" t="s">
        <v>18</v>
      </c>
      <c r="F417">
        <v>358.1</v>
      </c>
      <c r="G417">
        <v>1</v>
      </c>
      <c r="H417">
        <v>0.2</v>
      </c>
      <c r="I417">
        <v>3</v>
      </c>
    </row>
    <row r="418" spans="1:9" x14ac:dyDescent="0.2">
      <c r="A418" t="s">
        <v>460</v>
      </c>
      <c r="B418" s="1">
        <v>45965</v>
      </c>
      <c r="C418" t="s">
        <v>20</v>
      </c>
      <c r="D418" t="s">
        <v>21</v>
      </c>
      <c r="E418" t="s">
        <v>47</v>
      </c>
      <c r="F418">
        <v>1468.02</v>
      </c>
      <c r="G418">
        <v>2</v>
      </c>
      <c r="H418">
        <v>0.2</v>
      </c>
      <c r="I418">
        <v>1</v>
      </c>
    </row>
    <row r="419" spans="1:9" x14ac:dyDescent="0.2">
      <c r="A419" t="s">
        <v>461</v>
      </c>
      <c r="B419" s="1">
        <v>45798</v>
      </c>
      <c r="C419" t="s">
        <v>78</v>
      </c>
      <c r="D419" t="s">
        <v>11</v>
      </c>
      <c r="E419" t="s">
        <v>47</v>
      </c>
      <c r="F419">
        <v>1223.44</v>
      </c>
      <c r="G419">
        <v>1</v>
      </c>
      <c r="H419">
        <v>0.2</v>
      </c>
      <c r="I419">
        <v>4</v>
      </c>
    </row>
    <row r="420" spans="1:9" x14ac:dyDescent="0.2">
      <c r="A420" t="s">
        <v>462</v>
      </c>
      <c r="B420" s="1">
        <v>45948</v>
      </c>
      <c r="C420" t="s">
        <v>34</v>
      </c>
      <c r="D420" t="s">
        <v>11</v>
      </c>
      <c r="E420" t="s">
        <v>30</v>
      </c>
      <c r="F420">
        <v>1644.55</v>
      </c>
      <c r="G420">
        <v>1</v>
      </c>
      <c r="H420">
        <v>0</v>
      </c>
      <c r="I420">
        <v>5</v>
      </c>
    </row>
    <row r="421" spans="1:9" x14ac:dyDescent="0.2">
      <c r="A421" t="s">
        <v>463</v>
      </c>
      <c r="B421" s="1">
        <v>45821</v>
      </c>
      <c r="C421" t="s">
        <v>24</v>
      </c>
      <c r="D421" t="s">
        <v>15</v>
      </c>
      <c r="E421" t="s">
        <v>12</v>
      </c>
      <c r="F421">
        <v>362.83</v>
      </c>
      <c r="G421">
        <v>3</v>
      </c>
      <c r="H421">
        <v>0.1</v>
      </c>
      <c r="I421">
        <v>3</v>
      </c>
    </row>
    <row r="422" spans="1:9" x14ac:dyDescent="0.2">
      <c r="A422" t="s">
        <v>464</v>
      </c>
      <c r="B422" s="1">
        <v>45905</v>
      </c>
      <c r="C422" t="s">
        <v>26</v>
      </c>
      <c r="D422" t="s">
        <v>27</v>
      </c>
      <c r="E422" t="s">
        <v>47</v>
      </c>
      <c r="F422">
        <v>470.27</v>
      </c>
      <c r="G422">
        <v>10</v>
      </c>
      <c r="H422">
        <v>0</v>
      </c>
      <c r="I422">
        <v>5</v>
      </c>
    </row>
    <row r="423" spans="1:9" x14ac:dyDescent="0.2">
      <c r="A423" t="s">
        <v>465</v>
      </c>
      <c r="B423" s="1">
        <v>45957</v>
      </c>
      <c r="C423" t="s">
        <v>17</v>
      </c>
      <c r="D423" t="s">
        <v>11</v>
      </c>
      <c r="E423" t="s">
        <v>18</v>
      </c>
      <c r="F423">
        <v>1551.76</v>
      </c>
      <c r="G423">
        <v>5</v>
      </c>
      <c r="H423">
        <v>0.15</v>
      </c>
      <c r="I423">
        <v>5</v>
      </c>
    </row>
    <row r="424" spans="1:9" x14ac:dyDescent="0.2">
      <c r="A424" t="s">
        <v>466</v>
      </c>
      <c r="B424" s="1">
        <v>45838</v>
      </c>
      <c r="C424" t="s">
        <v>14</v>
      </c>
      <c r="D424" t="s">
        <v>15</v>
      </c>
      <c r="E424" t="s">
        <v>56</v>
      </c>
      <c r="F424">
        <v>522.42999999999995</v>
      </c>
      <c r="G424">
        <v>2</v>
      </c>
      <c r="H424">
        <v>0.1</v>
      </c>
      <c r="I424">
        <v>5</v>
      </c>
    </row>
    <row r="425" spans="1:9" x14ac:dyDescent="0.2">
      <c r="A425" t="s">
        <v>467</v>
      </c>
      <c r="B425" s="1">
        <v>45736</v>
      </c>
      <c r="C425" t="s">
        <v>41</v>
      </c>
      <c r="D425" t="s">
        <v>11</v>
      </c>
      <c r="E425" t="s">
        <v>22</v>
      </c>
      <c r="F425">
        <v>1074.55</v>
      </c>
      <c r="G425">
        <v>1</v>
      </c>
      <c r="H425">
        <v>0</v>
      </c>
      <c r="I425">
        <v>1</v>
      </c>
    </row>
    <row r="426" spans="1:9" x14ac:dyDescent="0.2">
      <c r="A426" t="s">
        <v>468</v>
      </c>
      <c r="B426" s="1">
        <v>45670</v>
      </c>
      <c r="C426" t="s">
        <v>78</v>
      </c>
      <c r="D426" t="s">
        <v>11</v>
      </c>
      <c r="E426" t="s">
        <v>56</v>
      </c>
      <c r="F426">
        <v>1319.21</v>
      </c>
      <c r="G426">
        <v>2</v>
      </c>
      <c r="H426">
        <v>0</v>
      </c>
      <c r="I426">
        <v>4</v>
      </c>
    </row>
    <row r="427" spans="1:9" x14ac:dyDescent="0.2">
      <c r="A427" t="s">
        <v>469</v>
      </c>
      <c r="B427" s="1">
        <v>45702</v>
      </c>
      <c r="C427" t="s">
        <v>41</v>
      </c>
      <c r="D427" t="s">
        <v>11</v>
      </c>
      <c r="E427" t="s">
        <v>30</v>
      </c>
      <c r="F427">
        <v>1093.3699999999999</v>
      </c>
      <c r="G427">
        <v>1</v>
      </c>
      <c r="H427">
        <v>0</v>
      </c>
      <c r="I427">
        <v>2</v>
      </c>
    </row>
    <row r="428" spans="1:9" x14ac:dyDescent="0.2">
      <c r="A428" t="s">
        <v>470</v>
      </c>
      <c r="B428" s="1">
        <v>45785</v>
      </c>
      <c r="C428" t="s">
        <v>43</v>
      </c>
      <c r="D428" t="s">
        <v>15</v>
      </c>
      <c r="E428" t="s">
        <v>30</v>
      </c>
      <c r="F428">
        <v>399.77</v>
      </c>
      <c r="G428">
        <v>1</v>
      </c>
      <c r="H428">
        <v>0</v>
      </c>
      <c r="I428">
        <v>4</v>
      </c>
    </row>
    <row r="429" spans="1:9" x14ac:dyDescent="0.2">
      <c r="A429" t="s">
        <v>471</v>
      </c>
      <c r="B429" s="1">
        <v>45772</v>
      </c>
      <c r="C429" t="s">
        <v>34</v>
      </c>
      <c r="D429" t="s">
        <v>11</v>
      </c>
      <c r="E429" t="s">
        <v>30</v>
      </c>
      <c r="F429">
        <v>1369.86</v>
      </c>
      <c r="G429">
        <v>1</v>
      </c>
      <c r="H429">
        <v>0</v>
      </c>
      <c r="I429">
        <v>1</v>
      </c>
    </row>
    <row r="430" spans="1:9" x14ac:dyDescent="0.2">
      <c r="A430" t="s">
        <v>472</v>
      </c>
      <c r="B430" s="1">
        <v>46018</v>
      </c>
      <c r="C430" t="s">
        <v>54</v>
      </c>
      <c r="D430" t="s">
        <v>15</v>
      </c>
      <c r="E430" t="s">
        <v>56</v>
      </c>
      <c r="F430">
        <v>335.79</v>
      </c>
      <c r="G430">
        <v>2</v>
      </c>
      <c r="H430">
        <v>0</v>
      </c>
      <c r="I430">
        <v>4</v>
      </c>
    </row>
    <row r="431" spans="1:9" x14ac:dyDescent="0.2">
      <c r="A431" t="s">
        <v>199</v>
      </c>
      <c r="B431" s="1">
        <v>46014</v>
      </c>
      <c r="C431" t="s">
        <v>37</v>
      </c>
      <c r="D431" t="s">
        <v>11</v>
      </c>
      <c r="E431" t="s">
        <v>22</v>
      </c>
      <c r="F431">
        <v>1400.57</v>
      </c>
      <c r="G431">
        <v>10</v>
      </c>
      <c r="H431">
        <v>0</v>
      </c>
      <c r="I431">
        <v>2</v>
      </c>
    </row>
    <row r="432" spans="1:9" x14ac:dyDescent="0.2">
      <c r="A432" t="s">
        <v>473</v>
      </c>
      <c r="B432" s="1">
        <v>45942</v>
      </c>
      <c r="C432" t="s">
        <v>24</v>
      </c>
      <c r="D432" t="s">
        <v>15</v>
      </c>
      <c r="E432" t="s">
        <v>12</v>
      </c>
      <c r="F432">
        <v>381.07</v>
      </c>
      <c r="G432">
        <v>3</v>
      </c>
      <c r="H432">
        <v>0</v>
      </c>
      <c r="I432">
        <v>4</v>
      </c>
    </row>
    <row r="433" spans="1:9" x14ac:dyDescent="0.2">
      <c r="A433" t="s">
        <v>474</v>
      </c>
      <c r="B433" s="1">
        <v>45951</v>
      </c>
      <c r="C433" t="s">
        <v>26</v>
      </c>
      <c r="D433" t="s">
        <v>27</v>
      </c>
      <c r="E433" t="s">
        <v>56</v>
      </c>
      <c r="F433">
        <v>673.27</v>
      </c>
      <c r="G433">
        <v>10</v>
      </c>
      <c r="H433">
        <v>0</v>
      </c>
      <c r="I433">
        <v>2</v>
      </c>
    </row>
    <row r="434" spans="1:9" x14ac:dyDescent="0.2">
      <c r="A434" t="s">
        <v>475</v>
      </c>
      <c r="B434" s="1">
        <v>45733</v>
      </c>
      <c r="C434" t="s">
        <v>14</v>
      </c>
      <c r="D434" t="s">
        <v>15</v>
      </c>
      <c r="E434" t="s">
        <v>47</v>
      </c>
      <c r="G434">
        <v>5</v>
      </c>
      <c r="H434">
        <v>0</v>
      </c>
      <c r="I434">
        <v>4</v>
      </c>
    </row>
    <row r="435" spans="1:9" x14ac:dyDescent="0.2">
      <c r="A435" t="s">
        <v>476</v>
      </c>
      <c r="B435" s="1">
        <v>45821</v>
      </c>
      <c r="C435" t="s">
        <v>20</v>
      </c>
      <c r="D435" t="s">
        <v>21</v>
      </c>
      <c r="E435" t="s">
        <v>18</v>
      </c>
      <c r="F435">
        <v>1713.48</v>
      </c>
      <c r="G435">
        <v>1</v>
      </c>
      <c r="H435">
        <v>0.2</v>
      </c>
      <c r="I435">
        <v>2</v>
      </c>
    </row>
    <row r="436" spans="1:9" x14ac:dyDescent="0.2">
      <c r="A436" t="s">
        <v>477</v>
      </c>
      <c r="B436" s="1">
        <v>45783</v>
      </c>
      <c r="C436" t="s">
        <v>24</v>
      </c>
      <c r="D436" t="s">
        <v>15</v>
      </c>
      <c r="E436" t="s">
        <v>12</v>
      </c>
      <c r="F436">
        <v>458.5</v>
      </c>
      <c r="G436">
        <v>1</v>
      </c>
      <c r="H436">
        <v>0</v>
      </c>
      <c r="I436">
        <v>5</v>
      </c>
    </row>
    <row r="437" spans="1:9" x14ac:dyDescent="0.2">
      <c r="A437" t="s">
        <v>478</v>
      </c>
      <c r="B437" s="1">
        <v>45940</v>
      </c>
      <c r="C437" t="s">
        <v>17</v>
      </c>
      <c r="D437" t="s">
        <v>11</v>
      </c>
      <c r="E437" t="s">
        <v>30</v>
      </c>
      <c r="F437" t="s">
        <v>479</v>
      </c>
      <c r="G437">
        <v>1</v>
      </c>
      <c r="H437">
        <v>0</v>
      </c>
    </row>
    <row r="438" spans="1:9" x14ac:dyDescent="0.2">
      <c r="A438" t="s">
        <v>480</v>
      </c>
      <c r="B438" s="1">
        <v>45887</v>
      </c>
      <c r="C438" t="s">
        <v>54</v>
      </c>
      <c r="D438" t="s">
        <v>15</v>
      </c>
      <c r="E438" t="s">
        <v>30</v>
      </c>
      <c r="F438">
        <v>333.61</v>
      </c>
      <c r="G438">
        <v>2</v>
      </c>
      <c r="H438">
        <v>0</v>
      </c>
      <c r="I438">
        <v>3</v>
      </c>
    </row>
    <row r="439" spans="1:9" x14ac:dyDescent="0.2">
      <c r="A439" t="s">
        <v>481</v>
      </c>
      <c r="B439" s="1">
        <v>45746</v>
      </c>
      <c r="C439" t="s">
        <v>29</v>
      </c>
      <c r="D439" t="s">
        <v>15</v>
      </c>
      <c r="E439" t="s">
        <v>39</v>
      </c>
      <c r="F439">
        <v>319.72000000000003</v>
      </c>
      <c r="G439">
        <v>1</v>
      </c>
      <c r="H439">
        <v>0.1</v>
      </c>
      <c r="I439">
        <v>4</v>
      </c>
    </row>
    <row r="440" spans="1:9" x14ac:dyDescent="0.2">
      <c r="A440" t="s">
        <v>482</v>
      </c>
      <c r="B440" s="1">
        <v>45963</v>
      </c>
      <c r="C440" t="s">
        <v>41</v>
      </c>
      <c r="D440" t="s">
        <v>11</v>
      </c>
      <c r="E440" t="s">
        <v>22</v>
      </c>
      <c r="F440">
        <v>958.56</v>
      </c>
      <c r="G440">
        <v>1</v>
      </c>
      <c r="H440">
        <v>0.2</v>
      </c>
    </row>
    <row r="441" spans="1:9" x14ac:dyDescent="0.2">
      <c r="A441" t="s">
        <v>483</v>
      </c>
      <c r="B441" s="1">
        <v>45828</v>
      </c>
      <c r="C441" t="s">
        <v>10</v>
      </c>
      <c r="D441" t="s">
        <v>11</v>
      </c>
      <c r="E441" t="s">
        <v>47</v>
      </c>
      <c r="F441">
        <v>1197.06</v>
      </c>
      <c r="G441">
        <v>1</v>
      </c>
      <c r="H441">
        <v>0</v>
      </c>
      <c r="I441">
        <v>5</v>
      </c>
    </row>
    <row r="442" spans="1:9" x14ac:dyDescent="0.2">
      <c r="A442" t="s">
        <v>484</v>
      </c>
      <c r="B442" s="1">
        <v>45976</v>
      </c>
      <c r="C442" t="s">
        <v>26</v>
      </c>
      <c r="D442" t="s">
        <v>27</v>
      </c>
      <c r="E442" t="s">
        <v>22</v>
      </c>
      <c r="F442">
        <v>400.68</v>
      </c>
      <c r="G442">
        <v>2</v>
      </c>
      <c r="H442">
        <v>0.2</v>
      </c>
      <c r="I442">
        <v>2</v>
      </c>
    </row>
    <row r="443" spans="1:9" x14ac:dyDescent="0.2">
      <c r="A443" t="s">
        <v>485</v>
      </c>
      <c r="B443" s="1">
        <v>45912</v>
      </c>
      <c r="C443" t="s">
        <v>14</v>
      </c>
      <c r="D443" t="s">
        <v>15</v>
      </c>
      <c r="E443" t="s">
        <v>39</v>
      </c>
      <c r="F443">
        <v>310.54000000000002</v>
      </c>
      <c r="G443">
        <v>3</v>
      </c>
      <c r="H443">
        <v>0.15</v>
      </c>
      <c r="I443">
        <v>4</v>
      </c>
    </row>
    <row r="444" spans="1:9" x14ac:dyDescent="0.2">
      <c r="A444" t="s">
        <v>486</v>
      </c>
      <c r="B444" s="1">
        <v>45994</v>
      </c>
      <c r="C444" t="s">
        <v>29</v>
      </c>
      <c r="D444" t="s">
        <v>15</v>
      </c>
      <c r="E444" t="s">
        <v>12</v>
      </c>
      <c r="F444">
        <v>371.51</v>
      </c>
      <c r="G444">
        <v>1</v>
      </c>
      <c r="H444">
        <v>0</v>
      </c>
      <c r="I444">
        <v>2</v>
      </c>
    </row>
    <row r="445" spans="1:9" x14ac:dyDescent="0.2">
      <c r="A445" t="s">
        <v>487</v>
      </c>
      <c r="B445" s="1">
        <v>45893</v>
      </c>
      <c r="C445" t="s">
        <v>20</v>
      </c>
      <c r="D445" t="s">
        <v>21</v>
      </c>
      <c r="E445" t="s">
        <v>30</v>
      </c>
      <c r="G445">
        <v>3</v>
      </c>
      <c r="H445">
        <v>0</v>
      </c>
      <c r="I445">
        <v>4</v>
      </c>
    </row>
    <row r="446" spans="1:9" x14ac:dyDescent="0.2">
      <c r="A446" t="s">
        <v>488</v>
      </c>
      <c r="B446" s="1">
        <v>45740</v>
      </c>
      <c r="C446" t="s">
        <v>26</v>
      </c>
      <c r="D446" t="s">
        <v>27</v>
      </c>
      <c r="E446" t="s">
        <v>22</v>
      </c>
      <c r="F446">
        <v>671.17</v>
      </c>
      <c r="G446">
        <v>1</v>
      </c>
      <c r="H446">
        <v>0.15</v>
      </c>
      <c r="I446">
        <v>2</v>
      </c>
    </row>
    <row r="447" spans="1:9" x14ac:dyDescent="0.2">
      <c r="A447" t="s">
        <v>489</v>
      </c>
      <c r="B447" s="1">
        <v>45890</v>
      </c>
      <c r="C447" t="s">
        <v>54</v>
      </c>
      <c r="D447" t="s">
        <v>15</v>
      </c>
      <c r="E447" t="s">
        <v>30</v>
      </c>
      <c r="F447">
        <v>269.43</v>
      </c>
      <c r="G447">
        <v>1</v>
      </c>
      <c r="H447">
        <v>0.2</v>
      </c>
      <c r="I447">
        <v>4</v>
      </c>
    </row>
    <row r="448" spans="1:9" x14ac:dyDescent="0.2">
      <c r="A448" t="s">
        <v>490</v>
      </c>
      <c r="B448" s="1">
        <v>45730</v>
      </c>
      <c r="C448" t="s">
        <v>26</v>
      </c>
      <c r="D448" t="s">
        <v>27</v>
      </c>
      <c r="E448" t="s">
        <v>22</v>
      </c>
      <c r="F448">
        <v>685.56</v>
      </c>
      <c r="G448">
        <v>3</v>
      </c>
      <c r="H448">
        <v>0.2</v>
      </c>
      <c r="I448">
        <v>2</v>
      </c>
    </row>
    <row r="449" spans="1:9" x14ac:dyDescent="0.2">
      <c r="A449" t="s">
        <v>491</v>
      </c>
      <c r="B449" s="1">
        <v>45870</v>
      </c>
      <c r="C449" t="s">
        <v>24</v>
      </c>
      <c r="D449" t="s">
        <v>15</v>
      </c>
      <c r="E449" t="s">
        <v>39</v>
      </c>
      <c r="F449">
        <v>295.89999999999998</v>
      </c>
      <c r="G449">
        <v>1</v>
      </c>
      <c r="H449">
        <v>0</v>
      </c>
      <c r="I449">
        <v>3</v>
      </c>
    </row>
    <row r="450" spans="1:9" x14ac:dyDescent="0.2">
      <c r="A450" t="s">
        <v>492</v>
      </c>
      <c r="B450" s="1">
        <v>45754</v>
      </c>
      <c r="C450" t="s">
        <v>50</v>
      </c>
      <c r="D450" t="s">
        <v>11</v>
      </c>
      <c r="E450" t="s">
        <v>47</v>
      </c>
      <c r="F450">
        <v>1525.35</v>
      </c>
      <c r="G450">
        <v>5</v>
      </c>
      <c r="H450">
        <v>0</v>
      </c>
      <c r="I450">
        <v>1</v>
      </c>
    </row>
    <row r="451" spans="1:9" x14ac:dyDescent="0.2">
      <c r="A451" t="s">
        <v>493</v>
      </c>
      <c r="B451" s="1">
        <v>45885</v>
      </c>
      <c r="C451" t="s">
        <v>32</v>
      </c>
      <c r="D451" t="s">
        <v>21</v>
      </c>
      <c r="E451" t="s">
        <v>39</v>
      </c>
      <c r="F451">
        <v>1617.5</v>
      </c>
      <c r="G451">
        <v>3</v>
      </c>
      <c r="H451">
        <v>0.1</v>
      </c>
      <c r="I451">
        <v>1</v>
      </c>
    </row>
    <row r="452" spans="1:9" x14ac:dyDescent="0.2">
      <c r="A452" t="s">
        <v>494</v>
      </c>
      <c r="B452" s="1">
        <v>45798</v>
      </c>
      <c r="C452" t="s">
        <v>32</v>
      </c>
      <c r="D452" t="s">
        <v>21</v>
      </c>
      <c r="E452" t="s">
        <v>12</v>
      </c>
      <c r="F452">
        <v>1494.06</v>
      </c>
      <c r="G452">
        <v>1</v>
      </c>
      <c r="H452">
        <v>0.2</v>
      </c>
      <c r="I452">
        <v>5</v>
      </c>
    </row>
    <row r="453" spans="1:9" x14ac:dyDescent="0.2">
      <c r="A453" t="s">
        <v>495</v>
      </c>
      <c r="B453" s="1">
        <v>45879</v>
      </c>
      <c r="C453" t="s">
        <v>17</v>
      </c>
      <c r="D453" t="s">
        <v>11</v>
      </c>
      <c r="F453">
        <v>1083.0899999999999</v>
      </c>
      <c r="G453">
        <v>1</v>
      </c>
      <c r="H453">
        <v>0.2</v>
      </c>
      <c r="I453">
        <v>5</v>
      </c>
    </row>
    <row r="454" spans="1:9" x14ac:dyDescent="0.2">
      <c r="A454" t="s">
        <v>496</v>
      </c>
      <c r="B454" s="1">
        <v>45834</v>
      </c>
      <c r="C454" t="s">
        <v>78</v>
      </c>
      <c r="D454" t="s">
        <v>11</v>
      </c>
      <c r="E454" t="s">
        <v>47</v>
      </c>
      <c r="F454">
        <v>1365.63</v>
      </c>
      <c r="G454">
        <v>1</v>
      </c>
      <c r="H454">
        <v>0.15</v>
      </c>
      <c r="I454">
        <v>3</v>
      </c>
    </row>
    <row r="455" spans="1:9" x14ac:dyDescent="0.2">
      <c r="A455" t="s">
        <v>497</v>
      </c>
      <c r="B455" s="1">
        <v>45819</v>
      </c>
      <c r="C455" t="s">
        <v>32</v>
      </c>
      <c r="D455" t="s">
        <v>21</v>
      </c>
      <c r="E455" t="s">
        <v>12</v>
      </c>
      <c r="F455">
        <v>1484.78</v>
      </c>
      <c r="G455">
        <v>1</v>
      </c>
      <c r="H455">
        <v>0</v>
      </c>
      <c r="I455">
        <v>3</v>
      </c>
    </row>
    <row r="456" spans="1:9" x14ac:dyDescent="0.2">
      <c r="A456" t="s">
        <v>498</v>
      </c>
      <c r="B456" s="1">
        <v>45799</v>
      </c>
      <c r="C456" t="s">
        <v>29</v>
      </c>
      <c r="D456" t="s">
        <v>15</v>
      </c>
      <c r="E456" t="s">
        <v>22</v>
      </c>
      <c r="F456">
        <v>257.57</v>
      </c>
      <c r="G456">
        <v>2</v>
      </c>
      <c r="H456">
        <v>0</v>
      </c>
      <c r="I456">
        <v>4</v>
      </c>
    </row>
    <row r="457" spans="1:9" x14ac:dyDescent="0.2">
      <c r="A457" t="s">
        <v>499</v>
      </c>
      <c r="B457" s="1">
        <v>45783</v>
      </c>
      <c r="C457" t="s">
        <v>17</v>
      </c>
      <c r="D457" t="s">
        <v>11</v>
      </c>
      <c r="E457" t="s">
        <v>39</v>
      </c>
      <c r="F457">
        <v>786.02</v>
      </c>
      <c r="G457">
        <v>1</v>
      </c>
      <c r="H457">
        <v>0.1</v>
      </c>
      <c r="I457">
        <v>5</v>
      </c>
    </row>
    <row r="458" spans="1:9" x14ac:dyDescent="0.2">
      <c r="A458" t="s">
        <v>500</v>
      </c>
      <c r="B458" s="1">
        <v>45863</v>
      </c>
      <c r="C458" t="s">
        <v>43</v>
      </c>
      <c r="D458" t="s">
        <v>15</v>
      </c>
      <c r="E458" t="s">
        <v>39</v>
      </c>
      <c r="F458">
        <v>369.37</v>
      </c>
      <c r="G458">
        <v>1</v>
      </c>
      <c r="H458">
        <v>0.1</v>
      </c>
      <c r="I458">
        <v>2</v>
      </c>
    </row>
    <row r="459" spans="1:9" x14ac:dyDescent="0.2">
      <c r="A459" t="s">
        <v>501</v>
      </c>
      <c r="B459" s="1">
        <v>45953</v>
      </c>
      <c r="C459" t="s">
        <v>37</v>
      </c>
      <c r="D459" t="s">
        <v>11</v>
      </c>
      <c r="E459" t="s">
        <v>22</v>
      </c>
      <c r="F459">
        <v>1419.7</v>
      </c>
      <c r="G459">
        <v>2</v>
      </c>
      <c r="H459">
        <v>0</v>
      </c>
      <c r="I459">
        <v>1</v>
      </c>
    </row>
    <row r="460" spans="1:9" x14ac:dyDescent="0.2">
      <c r="A460" t="s">
        <v>502</v>
      </c>
      <c r="B460" s="1">
        <v>45977</v>
      </c>
      <c r="C460" t="s">
        <v>32</v>
      </c>
      <c r="D460" t="s">
        <v>21</v>
      </c>
      <c r="F460">
        <v>1808.82</v>
      </c>
      <c r="G460">
        <v>-1</v>
      </c>
      <c r="H460">
        <v>0.15</v>
      </c>
      <c r="I460">
        <v>1</v>
      </c>
    </row>
    <row r="461" spans="1:9" x14ac:dyDescent="0.2">
      <c r="A461" t="s">
        <v>503</v>
      </c>
      <c r="B461" s="1">
        <v>45742</v>
      </c>
      <c r="C461" t="s">
        <v>37</v>
      </c>
      <c r="D461" t="s">
        <v>11</v>
      </c>
      <c r="F461">
        <v>1299.07</v>
      </c>
      <c r="G461">
        <v>2</v>
      </c>
      <c r="H461">
        <v>0.15</v>
      </c>
      <c r="I461">
        <v>4</v>
      </c>
    </row>
    <row r="462" spans="1:9" x14ac:dyDescent="0.2">
      <c r="A462" t="s">
        <v>504</v>
      </c>
      <c r="B462" s="1">
        <v>46007</v>
      </c>
      <c r="C462" t="s">
        <v>54</v>
      </c>
      <c r="D462" t="s">
        <v>15</v>
      </c>
      <c r="E462" t="s">
        <v>56</v>
      </c>
      <c r="F462">
        <v>377.94</v>
      </c>
      <c r="G462">
        <v>5</v>
      </c>
      <c r="H462">
        <v>0</v>
      </c>
      <c r="I462">
        <v>3</v>
      </c>
    </row>
    <row r="463" spans="1:9" x14ac:dyDescent="0.2">
      <c r="A463" t="s">
        <v>505</v>
      </c>
      <c r="B463" s="1">
        <v>45936</v>
      </c>
      <c r="C463" t="s">
        <v>17</v>
      </c>
      <c r="D463" t="s">
        <v>11</v>
      </c>
      <c r="E463" t="s">
        <v>22</v>
      </c>
      <c r="F463">
        <v>1164.71</v>
      </c>
      <c r="G463">
        <v>10</v>
      </c>
      <c r="H463">
        <v>0</v>
      </c>
      <c r="I463">
        <v>1</v>
      </c>
    </row>
    <row r="464" spans="1:9" x14ac:dyDescent="0.2">
      <c r="A464" t="s">
        <v>506</v>
      </c>
      <c r="B464" s="1">
        <v>45818</v>
      </c>
      <c r="C464" t="s">
        <v>78</v>
      </c>
      <c r="D464" t="s">
        <v>11</v>
      </c>
      <c r="E464" t="s">
        <v>39</v>
      </c>
      <c r="F464">
        <v>1434.13</v>
      </c>
      <c r="G464">
        <v>2</v>
      </c>
      <c r="H464">
        <v>0</v>
      </c>
      <c r="I464">
        <v>5</v>
      </c>
    </row>
    <row r="465" spans="1:9" x14ac:dyDescent="0.2">
      <c r="A465" t="s">
        <v>507</v>
      </c>
      <c r="B465" s="1">
        <v>45745</v>
      </c>
      <c r="C465" t="s">
        <v>34</v>
      </c>
      <c r="D465" t="s">
        <v>11</v>
      </c>
      <c r="E465" t="s">
        <v>30</v>
      </c>
      <c r="F465">
        <v>1030.96</v>
      </c>
      <c r="G465">
        <v>2</v>
      </c>
      <c r="H465">
        <v>0</v>
      </c>
      <c r="I465">
        <v>5</v>
      </c>
    </row>
    <row r="466" spans="1:9" x14ac:dyDescent="0.2">
      <c r="A466" t="s">
        <v>508</v>
      </c>
      <c r="B466" s="1">
        <v>45658</v>
      </c>
      <c r="C466" t="s">
        <v>29</v>
      </c>
      <c r="D466" t="s">
        <v>15</v>
      </c>
      <c r="E466" t="s">
        <v>56</v>
      </c>
      <c r="G466">
        <v>2</v>
      </c>
      <c r="H466">
        <v>0.1</v>
      </c>
      <c r="I466">
        <v>2</v>
      </c>
    </row>
    <row r="467" spans="1:9" x14ac:dyDescent="0.2">
      <c r="A467" t="s">
        <v>509</v>
      </c>
      <c r="B467" s="1">
        <v>45989</v>
      </c>
      <c r="C467" t="s">
        <v>17</v>
      </c>
      <c r="D467" t="s">
        <v>11</v>
      </c>
      <c r="E467" t="s">
        <v>30</v>
      </c>
      <c r="F467">
        <v>1431.21</v>
      </c>
      <c r="G467">
        <v>1</v>
      </c>
      <c r="H467">
        <v>0</v>
      </c>
      <c r="I467">
        <v>3</v>
      </c>
    </row>
    <row r="468" spans="1:9" x14ac:dyDescent="0.2">
      <c r="A468" t="s">
        <v>510</v>
      </c>
      <c r="B468" s="1">
        <v>45804</v>
      </c>
      <c r="C468" t="s">
        <v>20</v>
      </c>
      <c r="D468" t="s">
        <v>21</v>
      </c>
      <c r="E468" t="s">
        <v>47</v>
      </c>
      <c r="F468">
        <v>1793.15</v>
      </c>
      <c r="G468">
        <v>10</v>
      </c>
      <c r="H468">
        <v>0</v>
      </c>
      <c r="I468">
        <v>2</v>
      </c>
    </row>
    <row r="469" spans="1:9" x14ac:dyDescent="0.2">
      <c r="A469" t="s">
        <v>511</v>
      </c>
      <c r="B469" s="1">
        <v>45795</v>
      </c>
      <c r="C469" t="s">
        <v>32</v>
      </c>
      <c r="D469" t="s">
        <v>21</v>
      </c>
      <c r="E469" t="s">
        <v>30</v>
      </c>
      <c r="F469">
        <v>2071.94</v>
      </c>
      <c r="G469">
        <v>2</v>
      </c>
      <c r="H469">
        <v>0</v>
      </c>
      <c r="I469">
        <v>5</v>
      </c>
    </row>
    <row r="470" spans="1:9" x14ac:dyDescent="0.2">
      <c r="A470" t="s">
        <v>512</v>
      </c>
      <c r="B470" s="1">
        <v>45936</v>
      </c>
      <c r="C470" t="s">
        <v>14</v>
      </c>
      <c r="D470" t="s">
        <v>15</v>
      </c>
      <c r="E470" t="s">
        <v>39</v>
      </c>
      <c r="F470">
        <v>395.18</v>
      </c>
      <c r="G470">
        <v>10</v>
      </c>
      <c r="H470">
        <v>0</v>
      </c>
    </row>
    <row r="471" spans="1:9" x14ac:dyDescent="0.2">
      <c r="A471" t="s">
        <v>513</v>
      </c>
      <c r="B471" s="1">
        <v>45833</v>
      </c>
      <c r="C471" t="s">
        <v>37</v>
      </c>
      <c r="D471" t="s">
        <v>11</v>
      </c>
      <c r="E471" t="s">
        <v>12</v>
      </c>
      <c r="F471">
        <v>1058.55</v>
      </c>
      <c r="G471">
        <v>1</v>
      </c>
      <c r="H471">
        <v>0.15</v>
      </c>
      <c r="I471">
        <v>3</v>
      </c>
    </row>
    <row r="472" spans="1:9" x14ac:dyDescent="0.2">
      <c r="A472" t="s">
        <v>514</v>
      </c>
      <c r="B472" s="1">
        <v>45953</v>
      </c>
      <c r="C472" t="s">
        <v>29</v>
      </c>
      <c r="D472" t="s">
        <v>15</v>
      </c>
      <c r="E472" t="s">
        <v>47</v>
      </c>
      <c r="F472">
        <v>362</v>
      </c>
      <c r="G472">
        <v>10</v>
      </c>
      <c r="H472">
        <v>0</v>
      </c>
      <c r="I472">
        <v>5</v>
      </c>
    </row>
    <row r="473" spans="1:9" x14ac:dyDescent="0.2">
      <c r="A473" t="s">
        <v>515</v>
      </c>
      <c r="B473" s="1">
        <v>45702</v>
      </c>
      <c r="C473" t="s">
        <v>32</v>
      </c>
      <c r="D473" t="s">
        <v>21</v>
      </c>
      <c r="E473" t="s">
        <v>47</v>
      </c>
      <c r="F473">
        <v>2351.79</v>
      </c>
      <c r="G473">
        <v>1</v>
      </c>
      <c r="H473">
        <v>0</v>
      </c>
      <c r="I473">
        <v>5</v>
      </c>
    </row>
    <row r="474" spans="1:9" x14ac:dyDescent="0.2">
      <c r="A474" t="s">
        <v>516</v>
      </c>
      <c r="B474" s="1">
        <v>45692</v>
      </c>
      <c r="C474" t="s">
        <v>24</v>
      </c>
      <c r="D474" t="s">
        <v>15</v>
      </c>
      <c r="E474" t="s">
        <v>12</v>
      </c>
      <c r="F474">
        <v>393.98</v>
      </c>
      <c r="G474">
        <v>3</v>
      </c>
      <c r="H474">
        <v>0</v>
      </c>
      <c r="I474">
        <v>2</v>
      </c>
    </row>
    <row r="475" spans="1:9" x14ac:dyDescent="0.2">
      <c r="A475" t="s">
        <v>517</v>
      </c>
      <c r="B475" s="1">
        <v>45958</v>
      </c>
      <c r="C475" t="s">
        <v>50</v>
      </c>
      <c r="D475" t="s">
        <v>11</v>
      </c>
      <c r="E475" t="s">
        <v>22</v>
      </c>
      <c r="F475">
        <v>1162.6400000000001</v>
      </c>
      <c r="G475">
        <v>1</v>
      </c>
      <c r="H475">
        <v>0</v>
      </c>
      <c r="I475">
        <v>5</v>
      </c>
    </row>
    <row r="476" spans="1:9" x14ac:dyDescent="0.2">
      <c r="A476" t="s">
        <v>518</v>
      </c>
      <c r="B476" s="1">
        <v>45863</v>
      </c>
      <c r="C476" t="s">
        <v>24</v>
      </c>
      <c r="D476" t="s">
        <v>15</v>
      </c>
      <c r="E476" t="s">
        <v>56</v>
      </c>
      <c r="F476">
        <v>226.89</v>
      </c>
      <c r="G476">
        <v>1</v>
      </c>
      <c r="H476">
        <v>0</v>
      </c>
      <c r="I476">
        <v>3</v>
      </c>
    </row>
    <row r="477" spans="1:9" x14ac:dyDescent="0.2">
      <c r="A477" t="s">
        <v>519</v>
      </c>
      <c r="B477" s="1">
        <v>45713</v>
      </c>
      <c r="C477" t="s">
        <v>10</v>
      </c>
      <c r="D477" t="s">
        <v>11</v>
      </c>
      <c r="E477" t="s">
        <v>39</v>
      </c>
      <c r="F477">
        <v>722.98</v>
      </c>
      <c r="G477">
        <v>5</v>
      </c>
      <c r="H477">
        <v>0</v>
      </c>
      <c r="I477">
        <v>5</v>
      </c>
    </row>
    <row r="478" spans="1:9" x14ac:dyDescent="0.2">
      <c r="A478" t="s">
        <v>520</v>
      </c>
      <c r="B478" s="1">
        <v>45930</v>
      </c>
      <c r="C478" t="s">
        <v>50</v>
      </c>
      <c r="D478" t="s">
        <v>11</v>
      </c>
      <c r="E478" t="s">
        <v>18</v>
      </c>
      <c r="F478">
        <v>1602.34</v>
      </c>
      <c r="G478">
        <v>2</v>
      </c>
      <c r="H478">
        <v>0.15</v>
      </c>
    </row>
    <row r="479" spans="1:9" x14ac:dyDescent="0.2">
      <c r="A479" t="s">
        <v>521</v>
      </c>
      <c r="B479" s="1">
        <v>45917</v>
      </c>
      <c r="C479" t="s">
        <v>41</v>
      </c>
      <c r="D479" t="s">
        <v>11</v>
      </c>
      <c r="E479" t="s">
        <v>39</v>
      </c>
      <c r="F479">
        <v>1055.8499999999999</v>
      </c>
      <c r="G479">
        <v>2</v>
      </c>
      <c r="H479">
        <v>0</v>
      </c>
      <c r="I479">
        <v>5</v>
      </c>
    </row>
    <row r="480" spans="1:9" x14ac:dyDescent="0.2">
      <c r="A480" t="s">
        <v>522</v>
      </c>
      <c r="B480" s="1">
        <v>45756</v>
      </c>
      <c r="C480" t="s">
        <v>14</v>
      </c>
      <c r="D480" t="s">
        <v>15</v>
      </c>
      <c r="E480" t="s">
        <v>18</v>
      </c>
      <c r="F480">
        <v>445.8</v>
      </c>
      <c r="G480">
        <v>1</v>
      </c>
      <c r="H480">
        <v>0</v>
      </c>
      <c r="I480">
        <v>3</v>
      </c>
    </row>
    <row r="481" spans="1:9" x14ac:dyDescent="0.2">
      <c r="A481" t="s">
        <v>523</v>
      </c>
      <c r="B481" s="1">
        <v>45856</v>
      </c>
      <c r="C481" t="s">
        <v>43</v>
      </c>
      <c r="D481" t="s">
        <v>15</v>
      </c>
      <c r="E481" t="s">
        <v>22</v>
      </c>
      <c r="F481">
        <v>286.47000000000003</v>
      </c>
      <c r="G481">
        <v>1</v>
      </c>
      <c r="H481">
        <v>0.2</v>
      </c>
    </row>
    <row r="482" spans="1:9" x14ac:dyDescent="0.2">
      <c r="A482" t="s">
        <v>524</v>
      </c>
      <c r="B482" s="1">
        <v>45776</v>
      </c>
      <c r="C482" t="s">
        <v>54</v>
      </c>
      <c r="D482" t="s">
        <v>15</v>
      </c>
      <c r="E482" t="s">
        <v>22</v>
      </c>
      <c r="F482">
        <v>176.98</v>
      </c>
      <c r="G482">
        <v>5</v>
      </c>
      <c r="H482">
        <v>0.2</v>
      </c>
      <c r="I482">
        <v>3</v>
      </c>
    </row>
    <row r="483" spans="1:9" x14ac:dyDescent="0.2">
      <c r="A483" t="s">
        <v>525</v>
      </c>
      <c r="B483" s="1">
        <v>45910</v>
      </c>
      <c r="C483" t="s">
        <v>41</v>
      </c>
      <c r="D483" t="s">
        <v>11</v>
      </c>
      <c r="E483" t="s">
        <v>12</v>
      </c>
      <c r="F483">
        <v>1110.8499999999999</v>
      </c>
      <c r="G483">
        <v>2</v>
      </c>
      <c r="H483">
        <v>0</v>
      </c>
      <c r="I483">
        <v>5</v>
      </c>
    </row>
    <row r="484" spans="1:9" x14ac:dyDescent="0.2">
      <c r="A484" t="s">
        <v>526</v>
      </c>
      <c r="B484" s="1">
        <v>45720</v>
      </c>
      <c r="C484" t="s">
        <v>20</v>
      </c>
      <c r="D484" t="s">
        <v>21</v>
      </c>
      <c r="E484" t="s">
        <v>18</v>
      </c>
      <c r="F484">
        <v>1505.44</v>
      </c>
      <c r="G484">
        <v>1</v>
      </c>
      <c r="H484">
        <v>0</v>
      </c>
      <c r="I484">
        <v>5</v>
      </c>
    </row>
    <row r="485" spans="1:9" x14ac:dyDescent="0.2">
      <c r="A485" t="s">
        <v>527</v>
      </c>
      <c r="B485" s="1">
        <v>45659</v>
      </c>
      <c r="C485" t="s">
        <v>10</v>
      </c>
      <c r="D485" t="s">
        <v>11</v>
      </c>
      <c r="E485" t="s">
        <v>47</v>
      </c>
      <c r="F485">
        <v>1244.75</v>
      </c>
      <c r="G485">
        <v>2</v>
      </c>
      <c r="H485">
        <v>0</v>
      </c>
      <c r="I485">
        <v>3</v>
      </c>
    </row>
    <row r="486" spans="1:9" x14ac:dyDescent="0.2">
      <c r="A486" t="s">
        <v>528</v>
      </c>
      <c r="B486" s="1">
        <v>45921</v>
      </c>
      <c r="C486" t="s">
        <v>10</v>
      </c>
      <c r="D486" t="s">
        <v>11</v>
      </c>
      <c r="E486" t="s">
        <v>18</v>
      </c>
      <c r="F486" t="s">
        <v>529</v>
      </c>
      <c r="G486">
        <v>1</v>
      </c>
      <c r="H486">
        <v>0</v>
      </c>
      <c r="I486">
        <v>4</v>
      </c>
    </row>
    <row r="487" spans="1:9" x14ac:dyDescent="0.2">
      <c r="A487" t="s">
        <v>530</v>
      </c>
      <c r="B487" s="1">
        <v>45945</v>
      </c>
      <c r="C487" t="s">
        <v>50</v>
      </c>
      <c r="D487" t="s">
        <v>11</v>
      </c>
      <c r="E487" t="s">
        <v>47</v>
      </c>
      <c r="F487">
        <v>835.35</v>
      </c>
      <c r="G487">
        <v>3</v>
      </c>
      <c r="H487">
        <v>0.2</v>
      </c>
      <c r="I487">
        <v>2</v>
      </c>
    </row>
    <row r="488" spans="1:9" x14ac:dyDescent="0.2">
      <c r="A488" t="s">
        <v>531</v>
      </c>
      <c r="B488" s="1">
        <v>45984</v>
      </c>
      <c r="C488" t="s">
        <v>20</v>
      </c>
      <c r="D488" t="s">
        <v>21</v>
      </c>
      <c r="E488" t="s">
        <v>22</v>
      </c>
      <c r="F488">
        <v>2475.65</v>
      </c>
      <c r="G488">
        <v>1</v>
      </c>
      <c r="H488">
        <v>0.15</v>
      </c>
      <c r="I488">
        <v>1</v>
      </c>
    </row>
    <row r="489" spans="1:9" x14ac:dyDescent="0.2">
      <c r="A489" t="s">
        <v>532</v>
      </c>
      <c r="B489" s="1">
        <v>45952</v>
      </c>
      <c r="C489" t="s">
        <v>20</v>
      </c>
      <c r="D489" t="s">
        <v>21</v>
      </c>
      <c r="E489" t="s">
        <v>12</v>
      </c>
      <c r="F489">
        <v>1600.69</v>
      </c>
      <c r="G489">
        <v>3</v>
      </c>
      <c r="H489">
        <v>0.15</v>
      </c>
      <c r="I489">
        <v>5</v>
      </c>
    </row>
    <row r="490" spans="1:9" x14ac:dyDescent="0.2">
      <c r="A490" t="s">
        <v>533</v>
      </c>
      <c r="B490" s="1">
        <v>45715</v>
      </c>
      <c r="C490" t="s">
        <v>14</v>
      </c>
      <c r="D490" t="s">
        <v>15</v>
      </c>
      <c r="E490" t="s">
        <v>22</v>
      </c>
      <c r="F490">
        <v>347.23</v>
      </c>
      <c r="G490">
        <v>5</v>
      </c>
      <c r="H490">
        <v>0.1</v>
      </c>
      <c r="I490">
        <v>1</v>
      </c>
    </row>
    <row r="491" spans="1:9" x14ac:dyDescent="0.2">
      <c r="A491" t="s">
        <v>534</v>
      </c>
      <c r="B491" s="1">
        <v>45912</v>
      </c>
      <c r="C491" t="s">
        <v>14</v>
      </c>
      <c r="D491" t="s">
        <v>15</v>
      </c>
      <c r="E491" t="s">
        <v>18</v>
      </c>
      <c r="F491">
        <v>313.2</v>
      </c>
      <c r="G491">
        <v>1</v>
      </c>
      <c r="H491">
        <v>0</v>
      </c>
      <c r="I491">
        <v>5</v>
      </c>
    </row>
    <row r="492" spans="1:9" x14ac:dyDescent="0.2">
      <c r="A492" t="s">
        <v>535</v>
      </c>
      <c r="B492" s="1">
        <v>45803</v>
      </c>
      <c r="C492" t="s">
        <v>41</v>
      </c>
      <c r="D492" t="s">
        <v>11</v>
      </c>
      <c r="E492" t="s">
        <v>56</v>
      </c>
      <c r="F492">
        <v>1395.24</v>
      </c>
      <c r="G492">
        <v>1</v>
      </c>
      <c r="H492">
        <v>0</v>
      </c>
      <c r="I492">
        <v>4</v>
      </c>
    </row>
    <row r="493" spans="1:9" x14ac:dyDescent="0.2">
      <c r="A493" t="s">
        <v>315</v>
      </c>
      <c r="B493" s="1">
        <v>45749</v>
      </c>
      <c r="C493" t="s">
        <v>26</v>
      </c>
      <c r="D493" t="s">
        <v>27</v>
      </c>
      <c r="E493" t="s">
        <v>18</v>
      </c>
      <c r="F493">
        <v>502.98</v>
      </c>
      <c r="G493">
        <v>2</v>
      </c>
      <c r="H493">
        <v>0</v>
      </c>
      <c r="I493">
        <v>2</v>
      </c>
    </row>
    <row r="494" spans="1:9" x14ac:dyDescent="0.2">
      <c r="A494" t="s">
        <v>536</v>
      </c>
      <c r="B494" s="1">
        <v>45767</v>
      </c>
      <c r="C494" t="s">
        <v>37</v>
      </c>
      <c r="D494" t="s">
        <v>11</v>
      </c>
      <c r="E494" t="s">
        <v>47</v>
      </c>
      <c r="F494">
        <v>934.48</v>
      </c>
      <c r="G494">
        <v>2</v>
      </c>
      <c r="H494">
        <v>0</v>
      </c>
      <c r="I494">
        <v>5</v>
      </c>
    </row>
    <row r="495" spans="1:9" x14ac:dyDescent="0.2">
      <c r="A495" t="s">
        <v>537</v>
      </c>
      <c r="B495" s="1">
        <v>45990</v>
      </c>
      <c r="C495" t="s">
        <v>10</v>
      </c>
      <c r="D495" t="s">
        <v>11</v>
      </c>
      <c r="E495" t="s">
        <v>22</v>
      </c>
      <c r="F495">
        <v>1265.18</v>
      </c>
      <c r="G495">
        <v>1</v>
      </c>
      <c r="H495">
        <v>0</v>
      </c>
      <c r="I495">
        <v>3</v>
      </c>
    </row>
    <row r="496" spans="1:9" x14ac:dyDescent="0.2">
      <c r="A496" t="s">
        <v>538</v>
      </c>
      <c r="B496" s="1">
        <v>45895</v>
      </c>
      <c r="C496" t="s">
        <v>20</v>
      </c>
      <c r="D496" t="s">
        <v>21</v>
      </c>
      <c r="E496" t="s">
        <v>12</v>
      </c>
      <c r="G496">
        <v>5</v>
      </c>
      <c r="H496">
        <v>0</v>
      </c>
      <c r="I496">
        <v>1</v>
      </c>
    </row>
    <row r="497" spans="1:9" x14ac:dyDescent="0.2">
      <c r="A497" t="s">
        <v>246</v>
      </c>
      <c r="B497" s="1">
        <v>45870</v>
      </c>
      <c r="C497" t="s">
        <v>17</v>
      </c>
      <c r="D497" t="s">
        <v>11</v>
      </c>
      <c r="E497" t="s">
        <v>22</v>
      </c>
      <c r="F497">
        <v>1193.6400000000001</v>
      </c>
      <c r="G497">
        <v>1</v>
      </c>
      <c r="H497">
        <v>0</v>
      </c>
      <c r="I497">
        <v>5</v>
      </c>
    </row>
    <row r="498" spans="1:9" x14ac:dyDescent="0.2">
      <c r="A498" t="s">
        <v>539</v>
      </c>
      <c r="B498" s="1">
        <v>45891</v>
      </c>
      <c r="C498" t="s">
        <v>37</v>
      </c>
      <c r="D498" t="s">
        <v>11</v>
      </c>
      <c r="E498" t="s">
        <v>47</v>
      </c>
      <c r="F498">
        <v>1241.56</v>
      </c>
      <c r="G498">
        <v>1</v>
      </c>
      <c r="H498">
        <v>0.2</v>
      </c>
      <c r="I498">
        <v>3</v>
      </c>
    </row>
    <row r="499" spans="1:9" x14ac:dyDescent="0.2">
      <c r="A499" t="s">
        <v>540</v>
      </c>
      <c r="B499" s="1">
        <v>45875</v>
      </c>
      <c r="C499" t="s">
        <v>10</v>
      </c>
      <c r="D499" t="s">
        <v>11</v>
      </c>
      <c r="E499" t="s">
        <v>56</v>
      </c>
      <c r="F499">
        <v>1002.67</v>
      </c>
      <c r="G499">
        <v>1</v>
      </c>
      <c r="H499">
        <v>0.1</v>
      </c>
      <c r="I499">
        <v>3</v>
      </c>
    </row>
    <row r="500" spans="1:9" x14ac:dyDescent="0.2">
      <c r="A500" t="s">
        <v>541</v>
      </c>
      <c r="B500" s="1">
        <v>45762</v>
      </c>
      <c r="C500" t="s">
        <v>10</v>
      </c>
      <c r="D500" t="s">
        <v>11</v>
      </c>
      <c r="E500" t="s">
        <v>56</v>
      </c>
      <c r="F500">
        <v>1136.48</v>
      </c>
      <c r="G500">
        <v>2</v>
      </c>
      <c r="H500">
        <v>0.15</v>
      </c>
      <c r="I500">
        <v>3</v>
      </c>
    </row>
    <row r="501" spans="1:9" x14ac:dyDescent="0.2">
      <c r="A501" t="s">
        <v>542</v>
      </c>
      <c r="B501" s="1">
        <v>45868</v>
      </c>
      <c r="C501" t="s">
        <v>24</v>
      </c>
      <c r="D501" t="s">
        <v>15</v>
      </c>
      <c r="E501" t="s">
        <v>22</v>
      </c>
      <c r="F501">
        <v>328.92</v>
      </c>
      <c r="G501">
        <v>10</v>
      </c>
      <c r="H501">
        <v>0.2</v>
      </c>
      <c r="I501">
        <v>1</v>
      </c>
    </row>
    <row r="502" spans="1:9" x14ac:dyDescent="0.2">
      <c r="A502" t="s">
        <v>543</v>
      </c>
      <c r="B502" s="1">
        <v>45775</v>
      </c>
      <c r="C502" t="s">
        <v>14</v>
      </c>
      <c r="D502" t="s">
        <v>15</v>
      </c>
      <c r="E502" t="s">
        <v>56</v>
      </c>
      <c r="F502">
        <v>373.36</v>
      </c>
      <c r="G502">
        <v>5</v>
      </c>
      <c r="H502">
        <v>0</v>
      </c>
      <c r="I502">
        <v>2</v>
      </c>
    </row>
    <row r="503" spans="1:9" x14ac:dyDescent="0.2">
      <c r="A503" t="s">
        <v>544</v>
      </c>
      <c r="B503" s="1">
        <v>46005</v>
      </c>
      <c r="C503" t="s">
        <v>41</v>
      </c>
      <c r="D503" t="s">
        <v>11</v>
      </c>
      <c r="E503" t="s">
        <v>47</v>
      </c>
      <c r="F503">
        <v>862.21</v>
      </c>
      <c r="G503">
        <v>10</v>
      </c>
      <c r="H503">
        <v>0</v>
      </c>
      <c r="I503">
        <v>3</v>
      </c>
    </row>
    <row r="504" spans="1:9" x14ac:dyDescent="0.2">
      <c r="A504" t="s">
        <v>545</v>
      </c>
      <c r="B504" s="1">
        <v>45686</v>
      </c>
      <c r="C504" t="s">
        <v>17</v>
      </c>
      <c r="D504" t="s">
        <v>11</v>
      </c>
      <c r="E504" t="s">
        <v>30</v>
      </c>
      <c r="G504">
        <v>1</v>
      </c>
      <c r="H504">
        <v>0.15</v>
      </c>
      <c r="I504">
        <v>4</v>
      </c>
    </row>
    <row r="505" spans="1:9" x14ac:dyDescent="0.2">
      <c r="A505" t="s">
        <v>546</v>
      </c>
      <c r="B505" s="1">
        <v>45679</v>
      </c>
      <c r="C505" t="s">
        <v>26</v>
      </c>
      <c r="D505" t="s">
        <v>27</v>
      </c>
      <c r="E505" t="s">
        <v>47</v>
      </c>
      <c r="F505">
        <v>475.53</v>
      </c>
      <c r="G505">
        <v>2</v>
      </c>
      <c r="H505">
        <v>0</v>
      </c>
      <c r="I505">
        <v>5</v>
      </c>
    </row>
    <row r="506" spans="1:9" x14ac:dyDescent="0.2">
      <c r="A506" t="s">
        <v>547</v>
      </c>
      <c r="B506" s="1">
        <v>46010</v>
      </c>
      <c r="C506" t="s">
        <v>54</v>
      </c>
      <c r="D506" t="s">
        <v>15</v>
      </c>
      <c r="E506" t="s">
        <v>18</v>
      </c>
      <c r="F506">
        <v>313.27999999999997</v>
      </c>
      <c r="G506">
        <v>2</v>
      </c>
      <c r="H506">
        <v>0</v>
      </c>
      <c r="I506">
        <v>3</v>
      </c>
    </row>
    <row r="507" spans="1:9" x14ac:dyDescent="0.2">
      <c r="A507" t="s">
        <v>548</v>
      </c>
      <c r="B507" s="1">
        <v>45821</v>
      </c>
      <c r="C507" t="s">
        <v>20</v>
      </c>
      <c r="D507" t="s">
        <v>21</v>
      </c>
      <c r="E507" t="s">
        <v>22</v>
      </c>
      <c r="G507">
        <v>2</v>
      </c>
      <c r="H507">
        <v>0</v>
      </c>
      <c r="I507">
        <v>5</v>
      </c>
    </row>
    <row r="508" spans="1:9" x14ac:dyDescent="0.2">
      <c r="A508" t="s">
        <v>549</v>
      </c>
      <c r="B508" s="1">
        <v>46020</v>
      </c>
      <c r="C508" t="s">
        <v>34</v>
      </c>
      <c r="D508" t="s">
        <v>11</v>
      </c>
      <c r="E508" t="s">
        <v>30</v>
      </c>
      <c r="G508">
        <v>10</v>
      </c>
      <c r="H508">
        <v>0.1</v>
      </c>
    </row>
    <row r="509" spans="1:9" x14ac:dyDescent="0.2">
      <c r="A509" t="s">
        <v>550</v>
      </c>
      <c r="B509" s="1">
        <v>45965</v>
      </c>
      <c r="C509" t="s">
        <v>41</v>
      </c>
      <c r="D509" t="s">
        <v>11</v>
      </c>
      <c r="E509" t="s">
        <v>39</v>
      </c>
      <c r="F509">
        <v>1079.17</v>
      </c>
      <c r="G509">
        <v>1</v>
      </c>
      <c r="H509">
        <v>0.15</v>
      </c>
      <c r="I509">
        <v>1</v>
      </c>
    </row>
    <row r="510" spans="1:9" x14ac:dyDescent="0.2">
      <c r="A510" t="s">
        <v>551</v>
      </c>
      <c r="B510" s="1">
        <v>45781</v>
      </c>
      <c r="C510" t="s">
        <v>78</v>
      </c>
      <c r="D510" t="s">
        <v>11</v>
      </c>
      <c r="E510" t="s">
        <v>56</v>
      </c>
      <c r="F510">
        <v>791.38</v>
      </c>
      <c r="G510">
        <v>3</v>
      </c>
      <c r="H510">
        <v>0.1</v>
      </c>
      <c r="I510">
        <v>5</v>
      </c>
    </row>
    <row r="511" spans="1:9" x14ac:dyDescent="0.2">
      <c r="A511" t="s">
        <v>552</v>
      </c>
      <c r="B511" s="1">
        <v>45827</v>
      </c>
      <c r="C511" t="s">
        <v>41</v>
      </c>
      <c r="D511" t="s">
        <v>11</v>
      </c>
      <c r="E511" t="s">
        <v>39</v>
      </c>
      <c r="F511">
        <v>1122.8699999999999</v>
      </c>
      <c r="G511">
        <v>2</v>
      </c>
      <c r="H511">
        <v>0</v>
      </c>
      <c r="I511">
        <v>5</v>
      </c>
    </row>
    <row r="512" spans="1:9" x14ac:dyDescent="0.2">
      <c r="A512" t="s">
        <v>553</v>
      </c>
      <c r="B512" s="1">
        <v>45904</v>
      </c>
      <c r="C512" t="s">
        <v>26</v>
      </c>
      <c r="D512" t="s">
        <v>27</v>
      </c>
      <c r="E512" t="s">
        <v>12</v>
      </c>
      <c r="F512">
        <v>541.76</v>
      </c>
      <c r="G512">
        <v>2</v>
      </c>
      <c r="H512">
        <v>0.2</v>
      </c>
      <c r="I512">
        <v>5</v>
      </c>
    </row>
    <row r="513" spans="1:9" x14ac:dyDescent="0.2">
      <c r="A513" t="s">
        <v>554</v>
      </c>
      <c r="B513" s="1">
        <v>45975</v>
      </c>
      <c r="C513" t="s">
        <v>78</v>
      </c>
      <c r="D513" t="s">
        <v>11</v>
      </c>
      <c r="E513" t="s">
        <v>39</v>
      </c>
      <c r="F513">
        <v>1271.07</v>
      </c>
      <c r="G513">
        <v>3</v>
      </c>
      <c r="H513">
        <v>0</v>
      </c>
      <c r="I513">
        <v>4</v>
      </c>
    </row>
    <row r="514" spans="1:9" x14ac:dyDescent="0.2">
      <c r="A514" t="s">
        <v>555</v>
      </c>
      <c r="B514" s="1">
        <v>45900</v>
      </c>
      <c r="C514" t="s">
        <v>20</v>
      </c>
      <c r="D514" t="s">
        <v>21</v>
      </c>
      <c r="E514" t="s">
        <v>30</v>
      </c>
      <c r="F514">
        <v>2011.27</v>
      </c>
      <c r="G514">
        <v>1</v>
      </c>
      <c r="H514">
        <v>0.15</v>
      </c>
      <c r="I514">
        <v>4</v>
      </c>
    </row>
    <row r="515" spans="1:9" x14ac:dyDescent="0.2">
      <c r="A515" t="s">
        <v>556</v>
      </c>
      <c r="B515" s="1">
        <v>45744</v>
      </c>
      <c r="C515" t="s">
        <v>50</v>
      </c>
      <c r="D515" t="s">
        <v>11</v>
      </c>
      <c r="E515" t="s">
        <v>47</v>
      </c>
      <c r="F515">
        <v>1065.01</v>
      </c>
      <c r="G515">
        <v>1</v>
      </c>
      <c r="H515">
        <v>0</v>
      </c>
      <c r="I515">
        <v>1</v>
      </c>
    </row>
    <row r="516" spans="1:9" x14ac:dyDescent="0.2">
      <c r="A516" t="s">
        <v>557</v>
      </c>
      <c r="B516" s="1">
        <v>45717</v>
      </c>
      <c r="C516" t="s">
        <v>78</v>
      </c>
      <c r="D516" t="s">
        <v>11</v>
      </c>
      <c r="E516" t="s">
        <v>22</v>
      </c>
      <c r="F516">
        <v>1215.43</v>
      </c>
      <c r="G516">
        <v>1</v>
      </c>
      <c r="H516">
        <v>0</v>
      </c>
      <c r="I516">
        <v>1</v>
      </c>
    </row>
    <row r="517" spans="1:9" x14ac:dyDescent="0.2">
      <c r="A517" t="s">
        <v>558</v>
      </c>
      <c r="B517" s="1">
        <v>46005</v>
      </c>
      <c r="C517" t="s">
        <v>37</v>
      </c>
      <c r="D517" t="s">
        <v>11</v>
      </c>
      <c r="E517" t="s">
        <v>18</v>
      </c>
      <c r="G517">
        <v>10</v>
      </c>
      <c r="H517">
        <v>0.15</v>
      </c>
      <c r="I517">
        <v>4</v>
      </c>
    </row>
    <row r="518" spans="1:9" x14ac:dyDescent="0.2">
      <c r="A518" t="s">
        <v>559</v>
      </c>
      <c r="B518" s="1">
        <v>45793</v>
      </c>
      <c r="C518" t="s">
        <v>14</v>
      </c>
      <c r="D518" t="s">
        <v>15</v>
      </c>
      <c r="E518" t="s">
        <v>18</v>
      </c>
      <c r="F518">
        <v>425.65</v>
      </c>
      <c r="G518">
        <v>10</v>
      </c>
      <c r="H518">
        <v>0</v>
      </c>
      <c r="I518">
        <v>2</v>
      </c>
    </row>
    <row r="519" spans="1:9" x14ac:dyDescent="0.2">
      <c r="A519" t="s">
        <v>560</v>
      </c>
      <c r="B519" s="1">
        <v>45720</v>
      </c>
      <c r="C519" t="s">
        <v>20</v>
      </c>
      <c r="D519" t="s">
        <v>21</v>
      </c>
      <c r="E519" t="s">
        <v>12</v>
      </c>
      <c r="F519">
        <v>1511.18</v>
      </c>
      <c r="G519">
        <v>10</v>
      </c>
      <c r="H519">
        <v>0</v>
      </c>
      <c r="I519">
        <v>5</v>
      </c>
    </row>
    <row r="520" spans="1:9" x14ac:dyDescent="0.2">
      <c r="A520" t="s">
        <v>561</v>
      </c>
      <c r="B520" s="1">
        <v>45695</v>
      </c>
      <c r="C520" t="s">
        <v>32</v>
      </c>
      <c r="D520" t="s">
        <v>21</v>
      </c>
      <c r="E520" t="s">
        <v>22</v>
      </c>
      <c r="F520">
        <v>1410.82</v>
      </c>
      <c r="G520">
        <v>1</v>
      </c>
      <c r="H520">
        <v>0</v>
      </c>
      <c r="I520">
        <v>1</v>
      </c>
    </row>
    <row r="521" spans="1:9" x14ac:dyDescent="0.2">
      <c r="A521" t="s">
        <v>562</v>
      </c>
      <c r="B521" s="1">
        <v>45717</v>
      </c>
      <c r="C521" t="s">
        <v>43</v>
      </c>
      <c r="D521" t="s">
        <v>15</v>
      </c>
      <c r="E521" t="s">
        <v>22</v>
      </c>
      <c r="F521">
        <v>274.56</v>
      </c>
      <c r="G521">
        <v>1</v>
      </c>
      <c r="H521">
        <v>0</v>
      </c>
    </row>
    <row r="522" spans="1:9" x14ac:dyDescent="0.2">
      <c r="A522" t="s">
        <v>563</v>
      </c>
      <c r="B522" s="1">
        <v>45942</v>
      </c>
      <c r="C522" t="s">
        <v>37</v>
      </c>
      <c r="D522" t="s">
        <v>11</v>
      </c>
      <c r="E522" t="s">
        <v>22</v>
      </c>
      <c r="F522">
        <v>1464.79</v>
      </c>
      <c r="G522">
        <v>5</v>
      </c>
      <c r="H522">
        <v>0.15</v>
      </c>
      <c r="I522">
        <v>5</v>
      </c>
    </row>
    <row r="523" spans="1:9" x14ac:dyDescent="0.2">
      <c r="A523" t="s">
        <v>564</v>
      </c>
      <c r="B523" s="1">
        <v>46001</v>
      </c>
      <c r="C523" t="s">
        <v>37</v>
      </c>
      <c r="D523" t="s">
        <v>11</v>
      </c>
      <c r="E523" t="s">
        <v>39</v>
      </c>
      <c r="F523">
        <v>1065.56</v>
      </c>
      <c r="G523">
        <v>5</v>
      </c>
      <c r="H523">
        <v>0.15</v>
      </c>
      <c r="I523">
        <v>5</v>
      </c>
    </row>
    <row r="524" spans="1:9" x14ac:dyDescent="0.2">
      <c r="A524" t="s">
        <v>565</v>
      </c>
      <c r="B524" s="1">
        <v>46021</v>
      </c>
      <c r="C524" t="s">
        <v>50</v>
      </c>
      <c r="D524" t="s">
        <v>11</v>
      </c>
      <c r="E524" t="s">
        <v>22</v>
      </c>
      <c r="F524">
        <v>1310.9</v>
      </c>
      <c r="G524">
        <v>5</v>
      </c>
      <c r="H524">
        <v>0</v>
      </c>
      <c r="I524">
        <v>2</v>
      </c>
    </row>
    <row r="525" spans="1:9" x14ac:dyDescent="0.2">
      <c r="A525" t="s">
        <v>566</v>
      </c>
      <c r="B525" s="1">
        <v>45741</v>
      </c>
      <c r="C525" t="s">
        <v>10</v>
      </c>
      <c r="D525" t="s">
        <v>11</v>
      </c>
      <c r="E525" t="s">
        <v>12</v>
      </c>
      <c r="F525">
        <v>962.27</v>
      </c>
      <c r="G525">
        <v>2</v>
      </c>
      <c r="H525">
        <v>0</v>
      </c>
      <c r="I525">
        <v>1</v>
      </c>
    </row>
    <row r="526" spans="1:9" x14ac:dyDescent="0.2">
      <c r="A526" t="s">
        <v>567</v>
      </c>
      <c r="B526" s="1">
        <v>45927</v>
      </c>
      <c r="C526" t="s">
        <v>78</v>
      </c>
      <c r="D526" t="s">
        <v>11</v>
      </c>
      <c r="E526" t="s">
        <v>22</v>
      </c>
      <c r="F526">
        <v>1349.48</v>
      </c>
      <c r="G526">
        <v>5</v>
      </c>
      <c r="H526">
        <v>0</v>
      </c>
      <c r="I526">
        <v>3</v>
      </c>
    </row>
    <row r="527" spans="1:9" x14ac:dyDescent="0.2">
      <c r="A527" t="s">
        <v>568</v>
      </c>
      <c r="B527" s="1">
        <v>45906</v>
      </c>
      <c r="C527" t="s">
        <v>54</v>
      </c>
      <c r="D527" t="s">
        <v>15</v>
      </c>
      <c r="E527" t="s">
        <v>39</v>
      </c>
      <c r="F527">
        <v>371.55</v>
      </c>
      <c r="G527">
        <v>10</v>
      </c>
      <c r="H527">
        <v>0</v>
      </c>
      <c r="I527">
        <v>3</v>
      </c>
    </row>
    <row r="528" spans="1:9" x14ac:dyDescent="0.2">
      <c r="A528" t="s">
        <v>569</v>
      </c>
      <c r="B528" s="1">
        <v>45784</v>
      </c>
      <c r="C528" t="s">
        <v>14</v>
      </c>
      <c r="D528" t="s">
        <v>15</v>
      </c>
      <c r="F528">
        <v>364.62</v>
      </c>
      <c r="G528">
        <v>2</v>
      </c>
      <c r="H528">
        <v>0</v>
      </c>
      <c r="I528">
        <v>5</v>
      </c>
    </row>
    <row r="529" spans="1:9" x14ac:dyDescent="0.2">
      <c r="A529" t="s">
        <v>570</v>
      </c>
      <c r="B529" s="1">
        <v>45922</v>
      </c>
      <c r="C529" t="s">
        <v>17</v>
      </c>
      <c r="D529" t="s">
        <v>11</v>
      </c>
      <c r="E529" t="s">
        <v>56</v>
      </c>
      <c r="F529">
        <v>904.59</v>
      </c>
      <c r="G529">
        <v>2</v>
      </c>
      <c r="H529">
        <v>0</v>
      </c>
      <c r="I529">
        <v>4</v>
      </c>
    </row>
    <row r="530" spans="1:9" x14ac:dyDescent="0.2">
      <c r="A530" t="s">
        <v>571</v>
      </c>
      <c r="B530" s="1">
        <v>45756</v>
      </c>
      <c r="C530" t="s">
        <v>10</v>
      </c>
      <c r="D530" t="s">
        <v>11</v>
      </c>
      <c r="E530" t="s">
        <v>22</v>
      </c>
      <c r="F530">
        <v>1346.49</v>
      </c>
      <c r="G530">
        <v>2</v>
      </c>
      <c r="H530">
        <v>0</v>
      </c>
      <c r="I530">
        <v>3</v>
      </c>
    </row>
    <row r="531" spans="1:9" x14ac:dyDescent="0.2">
      <c r="A531" t="s">
        <v>572</v>
      </c>
      <c r="B531" s="1">
        <v>45768</v>
      </c>
      <c r="C531" t="s">
        <v>54</v>
      </c>
      <c r="D531" t="s">
        <v>15</v>
      </c>
      <c r="E531" t="s">
        <v>18</v>
      </c>
      <c r="F531">
        <v>249.89</v>
      </c>
      <c r="G531">
        <v>1</v>
      </c>
      <c r="H531">
        <v>0</v>
      </c>
      <c r="I531">
        <v>5</v>
      </c>
    </row>
    <row r="532" spans="1:9" x14ac:dyDescent="0.2">
      <c r="A532" t="s">
        <v>573</v>
      </c>
      <c r="B532" s="1">
        <v>45775</v>
      </c>
      <c r="C532" t="s">
        <v>41</v>
      </c>
      <c r="D532" t="s">
        <v>11</v>
      </c>
      <c r="E532" t="s">
        <v>18</v>
      </c>
      <c r="F532">
        <v>1428.96</v>
      </c>
      <c r="G532">
        <v>3</v>
      </c>
      <c r="H532">
        <v>0</v>
      </c>
      <c r="I532">
        <v>4</v>
      </c>
    </row>
    <row r="533" spans="1:9" x14ac:dyDescent="0.2">
      <c r="A533" t="s">
        <v>574</v>
      </c>
      <c r="B533" s="1">
        <v>45966</v>
      </c>
      <c r="C533" t="s">
        <v>78</v>
      </c>
      <c r="D533" t="s">
        <v>11</v>
      </c>
      <c r="E533" t="s">
        <v>47</v>
      </c>
      <c r="F533">
        <v>1072.68</v>
      </c>
      <c r="G533">
        <v>1</v>
      </c>
      <c r="H533">
        <v>0</v>
      </c>
      <c r="I533">
        <v>4</v>
      </c>
    </row>
    <row r="534" spans="1:9" x14ac:dyDescent="0.2">
      <c r="A534" t="s">
        <v>575</v>
      </c>
      <c r="B534" s="1">
        <v>45676</v>
      </c>
      <c r="C534" t="s">
        <v>41</v>
      </c>
      <c r="D534" t="s">
        <v>11</v>
      </c>
      <c r="E534" t="s">
        <v>47</v>
      </c>
      <c r="F534">
        <v>1213.97</v>
      </c>
      <c r="G534">
        <v>1</v>
      </c>
      <c r="H534">
        <v>0</v>
      </c>
      <c r="I534">
        <v>4</v>
      </c>
    </row>
    <row r="535" spans="1:9" x14ac:dyDescent="0.2">
      <c r="A535" t="s">
        <v>576</v>
      </c>
      <c r="B535" s="1">
        <v>45693</v>
      </c>
      <c r="C535" t="s">
        <v>41</v>
      </c>
      <c r="D535" t="s">
        <v>11</v>
      </c>
      <c r="E535" t="s">
        <v>39</v>
      </c>
      <c r="F535">
        <v>1211.54</v>
      </c>
      <c r="G535">
        <v>5</v>
      </c>
      <c r="H535">
        <v>0.2</v>
      </c>
      <c r="I535">
        <v>5</v>
      </c>
    </row>
    <row r="536" spans="1:9" x14ac:dyDescent="0.2">
      <c r="A536" t="s">
        <v>577</v>
      </c>
      <c r="B536" s="1">
        <v>45791</v>
      </c>
      <c r="C536" t="s">
        <v>20</v>
      </c>
      <c r="D536" t="s">
        <v>21</v>
      </c>
      <c r="E536" t="s">
        <v>18</v>
      </c>
      <c r="F536">
        <v>1706.55</v>
      </c>
      <c r="G536">
        <v>3</v>
      </c>
      <c r="H536">
        <v>0.1</v>
      </c>
      <c r="I536">
        <v>5</v>
      </c>
    </row>
    <row r="537" spans="1:9" x14ac:dyDescent="0.2">
      <c r="A537" t="s">
        <v>578</v>
      </c>
      <c r="B537" s="1">
        <v>45690</v>
      </c>
      <c r="C537" t="s">
        <v>17</v>
      </c>
      <c r="D537" t="s">
        <v>11</v>
      </c>
      <c r="E537" t="s">
        <v>56</v>
      </c>
      <c r="F537">
        <v>1172.46</v>
      </c>
      <c r="G537">
        <v>10</v>
      </c>
      <c r="H537">
        <v>0.1</v>
      </c>
      <c r="I537">
        <v>5</v>
      </c>
    </row>
    <row r="538" spans="1:9" x14ac:dyDescent="0.2">
      <c r="A538" t="s">
        <v>579</v>
      </c>
      <c r="B538" s="1">
        <v>45814</v>
      </c>
      <c r="C538" t="s">
        <v>78</v>
      </c>
      <c r="D538" t="s">
        <v>11</v>
      </c>
      <c r="E538" t="s">
        <v>18</v>
      </c>
      <c r="F538">
        <v>1258.79</v>
      </c>
      <c r="G538">
        <v>10</v>
      </c>
      <c r="H538">
        <v>0.15</v>
      </c>
      <c r="I538">
        <v>5</v>
      </c>
    </row>
    <row r="539" spans="1:9" x14ac:dyDescent="0.2">
      <c r="A539" t="s">
        <v>580</v>
      </c>
      <c r="B539" s="1">
        <v>45662</v>
      </c>
      <c r="C539" t="s">
        <v>43</v>
      </c>
      <c r="D539" t="s">
        <v>15</v>
      </c>
      <c r="F539">
        <v>373.92</v>
      </c>
      <c r="G539">
        <v>1</v>
      </c>
      <c r="H539">
        <v>0.1</v>
      </c>
      <c r="I539">
        <v>3</v>
      </c>
    </row>
    <row r="540" spans="1:9" x14ac:dyDescent="0.2">
      <c r="A540" t="s">
        <v>581</v>
      </c>
      <c r="B540" s="1">
        <v>45742</v>
      </c>
      <c r="C540" t="s">
        <v>54</v>
      </c>
      <c r="D540" t="s">
        <v>15</v>
      </c>
      <c r="E540" t="s">
        <v>39</v>
      </c>
      <c r="F540">
        <v>372.83</v>
      </c>
      <c r="G540">
        <v>5</v>
      </c>
      <c r="H540">
        <v>0</v>
      </c>
      <c r="I540">
        <v>1</v>
      </c>
    </row>
    <row r="541" spans="1:9" x14ac:dyDescent="0.2">
      <c r="A541" t="s">
        <v>582</v>
      </c>
      <c r="B541" s="1">
        <v>45738</v>
      </c>
      <c r="C541" t="s">
        <v>78</v>
      </c>
      <c r="D541" t="s">
        <v>11</v>
      </c>
      <c r="E541" t="s">
        <v>47</v>
      </c>
      <c r="F541">
        <v>1323.61</v>
      </c>
      <c r="G541">
        <v>1</v>
      </c>
      <c r="H541">
        <v>0.1</v>
      </c>
      <c r="I541">
        <v>5</v>
      </c>
    </row>
    <row r="542" spans="1:9" x14ac:dyDescent="0.2">
      <c r="A542" t="s">
        <v>583</v>
      </c>
      <c r="B542" s="1">
        <v>45831</v>
      </c>
      <c r="C542" t="s">
        <v>54</v>
      </c>
      <c r="D542" t="s">
        <v>15</v>
      </c>
      <c r="E542" t="s">
        <v>22</v>
      </c>
      <c r="F542">
        <v>301.5</v>
      </c>
      <c r="G542">
        <v>1</v>
      </c>
      <c r="H542">
        <v>0.2</v>
      </c>
      <c r="I542">
        <v>5</v>
      </c>
    </row>
    <row r="543" spans="1:9" x14ac:dyDescent="0.2">
      <c r="A543" t="s">
        <v>584</v>
      </c>
      <c r="B543" s="1">
        <v>45919</v>
      </c>
      <c r="C543" t="s">
        <v>14</v>
      </c>
      <c r="D543" t="s">
        <v>15</v>
      </c>
      <c r="E543" t="s">
        <v>22</v>
      </c>
      <c r="F543">
        <v>383</v>
      </c>
      <c r="G543">
        <v>3</v>
      </c>
      <c r="H543">
        <v>0</v>
      </c>
      <c r="I543">
        <v>5</v>
      </c>
    </row>
    <row r="544" spans="1:9" x14ac:dyDescent="0.2">
      <c r="A544" t="s">
        <v>585</v>
      </c>
      <c r="B544" s="1">
        <v>45847</v>
      </c>
      <c r="C544" t="s">
        <v>17</v>
      </c>
      <c r="D544" t="s">
        <v>11</v>
      </c>
      <c r="E544" t="s">
        <v>56</v>
      </c>
      <c r="F544">
        <v>1575.51</v>
      </c>
      <c r="G544">
        <v>1</v>
      </c>
      <c r="H544">
        <v>0.1</v>
      </c>
      <c r="I544">
        <v>3</v>
      </c>
    </row>
    <row r="545" spans="1:9" x14ac:dyDescent="0.2">
      <c r="A545" t="s">
        <v>586</v>
      </c>
      <c r="B545" s="1">
        <v>45944</v>
      </c>
      <c r="C545" t="s">
        <v>78</v>
      </c>
      <c r="D545" t="s">
        <v>11</v>
      </c>
      <c r="E545" t="s">
        <v>47</v>
      </c>
      <c r="F545">
        <v>1161.29</v>
      </c>
      <c r="G545">
        <v>3</v>
      </c>
      <c r="H545">
        <v>0.1</v>
      </c>
    </row>
    <row r="546" spans="1:9" x14ac:dyDescent="0.2">
      <c r="A546" t="s">
        <v>587</v>
      </c>
      <c r="B546" s="1">
        <v>45746</v>
      </c>
      <c r="C546" t="s">
        <v>78</v>
      </c>
      <c r="D546" t="s">
        <v>11</v>
      </c>
      <c r="E546" t="s">
        <v>22</v>
      </c>
      <c r="F546">
        <v>1165.3499999999999</v>
      </c>
      <c r="G546">
        <v>3</v>
      </c>
      <c r="H546">
        <v>0</v>
      </c>
      <c r="I546">
        <v>3</v>
      </c>
    </row>
    <row r="547" spans="1:9" x14ac:dyDescent="0.2">
      <c r="A547" t="s">
        <v>588</v>
      </c>
      <c r="B547" s="1">
        <v>45852</v>
      </c>
      <c r="C547" t="s">
        <v>54</v>
      </c>
      <c r="D547" t="s">
        <v>15</v>
      </c>
      <c r="E547" t="s">
        <v>22</v>
      </c>
      <c r="F547">
        <v>393.53</v>
      </c>
      <c r="G547">
        <v>1</v>
      </c>
      <c r="H547">
        <v>0.15</v>
      </c>
      <c r="I547">
        <v>4</v>
      </c>
    </row>
    <row r="548" spans="1:9" x14ac:dyDescent="0.2">
      <c r="A548" t="s">
        <v>589</v>
      </c>
      <c r="B548" s="1">
        <v>45686</v>
      </c>
      <c r="C548" t="s">
        <v>41</v>
      </c>
      <c r="D548" t="s">
        <v>11</v>
      </c>
      <c r="E548" t="s">
        <v>12</v>
      </c>
      <c r="F548">
        <v>956.92</v>
      </c>
      <c r="G548">
        <v>2</v>
      </c>
      <c r="H548">
        <v>0</v>
      </c>
      <c r="I548">
        <v>5</v>
      </c>
    </row>
    <row r="549" spans="1:9" x14ac:dyDescent="0.2">
      <c r="A549" t="s">
        <v>590</v>
      </c>
      <c r="B549" s="1">
        <v>45938</v>
      </c>
      <c r="C549" t="s">
        <v>34</v>
      </c>
      <c r="D549" t="s">
        <v>11</v>
      </c>
      <c r="E549" t="s">
        <v>12</v>
      </c>
      <c r="F549">
        <v>1186.67</v>
      </c>
      <c r="G549">
        <v>2</v>
      </c>
      <c r="H549">
        <v>0.15</v>
      </c>
    </row>
    <row r="550" spans="1:9" x14ac:dyDescent="0.2">
      <c r="A550" t="s">
        <v>591</v>
      </c>
      <c r="B550" s="1">
        <v>45998</v>
      </c>
      <c r="C550" t="s">
        <v>20</v>
      </c>
      <c r="D550" t="s">
        <v>21</v>
      </c>
      <c r="E550" t="s">
        <v>22</v>
      </c>
      <c r="F550">
        <v>2148.71</v>
      </c>
      <c r="G550">
        <v>5</v>
      </c>
      <c r="H550">
        <v>0.2</v>
      </c>
      <c r="I550">
        <v>3</v>
      </c>
    </row>
    <row r="551" spans="1:9" x14ac:dyDescent="0.2">
      <c r="A551" t="s">
        <v>592</v>
      </c>
      <c r="B551" s="1">
        <v>45827</v>
      </c>
      <c r="C551" t="s">
        <v>37</v>
      </c>
      <c r="D551" t="s">
        <v>11</v>
      </c>
      <c r="E551" t="s">
        <v>39</v>
      </c>
      <c r="F551">
        <v>1072.8599999999999</v>
      </c>
      <c r="G551">
        <v>3</v>
      </c>
      <c r="H551">
        <v>0.2</v>
      </c>
      <c r="I551">
        <v>2</v>
      </c>
    </row>
    <row r="552" spans="1:9" x14ac:dyDescent="0.2">
      <c r="A552" t="s">
        <v>593</v>
      </c>
      <c r="B552" s="1">
        <v>45723</v>
      </c>
      <c r="C552" t="s">
        <v>54</v>
      </c>
      <c r="D552" t="s">
        <v>15</v>
      </c>
      <c r="E552" t="s">
        <v>47</v>
      </c>
      <c r="F552">
        <v>345.61</v>
      </c>
      <c r="G552">
        <v>2</v>
      </c>
      <c r="H552">
        <v>0</v>
      </c>
      <c r="I552">
        <v>1</v>
      </c>
    </row>
    <row r="553" spans="1:9" x14ac:dyDescent="0.2">
      <c r="A553" t="s">
        <v>594</v>
      </c>
      <c r="B553" s="1">
        <v>45923</v>
      </c>
      <c r="C553" t="s">
        <v>10</v>
      </c>
      <c r="D553" t="s">
        <v>11</v>
      </c>
      <c r="E553" t="s">
        <v>39</v>
      </c>
      <c r="F553">
        <v>1117.75</v>
      </c>
      <c r="G553">
        <v>10</v>
      </c>
      <c r="H553">
        <v>0</v>
      </c>
    </row>
    <row r="554" spans="1:9" x14ac:dyDescent="0.2">
      <c r="A554" t="s">
        <v>595</v>
      </c>
      <c r="B554" s="1">
        <v>45747</v>
      </c>
      <c r="C554" t="s">
        <v>17</v>
      </c>
      <c r="D554" t="s">
        <v>11</v>
      </c>
      <c r="E554" t="s">
        <v>18</v>
      </c>
      <c r="F554">
        <v>1041.17</v>
      </c>
      <c r="G554">
        <v>1</v>
      </c>
      <c r="H554">
        <v>0.2</v>
      </c>
      <c r="I554">
        <v>1</v>
      </c>
    </row>
    <row r="555" spans="1:9" x14ac:dyDescent="0.2">
      <c r="A555" t="s">
        <v>596</v>
      </c>
      <c r="B555" s="1">
        <v>45659</v>
      </c>
      <c r="C555" t="s">
        <v>24</v>
      </c>
      <c r="D555" t="s">
        <v>15</v>
      </c>
      <c r="E555" t="s">
        <v>30</v>
      </c>
      <c r="F555">
        <v>376.61</v>
      </c>
      <c r="G555">
        <v>1</v>
      </c>
      <c r="H555">
        <v>0.2</v>
      </c>
      <c r="I555">
        <v>2</v>
      </c>
    </row>
    <row r="556" spans="1:9" x14ac:dyDescent="0.2">
      <c r="A556" t="s">
        <v>597</v>
      </c>
      <c r="B556" s="1">
        <v>45691</v>
      </c>
      <c r="C556" t="s">
        <v>50</v>
      </c>
      <c r="D556" t="s">
        <v>11</v>
      </c>
      <c r="E556" t="s">
        <v>30</v>
      </c>
      <c r="F556">
        <v>1086.01</v>
      </c>
      <c r="G556">
        <v>1</v>
      </c>
      <c r="H556">
        <v>0</v>
      </c>
    </row>
    <row r="557" spans="1:9" x14ac:dyDescent="0.2">
      <c r="A557" t="s">
        <v>598</v>
      </c>
      <c r="B557" s="1">
        <v>46013</v>
      </c>
      <c r="C557" t="s">
        <v>29</v>
      </c>
      <c r="D557" t="s">
        <v>15</v>
      </c>
      <c r="E557" t="s">
        <v>18</v>
      </c>
      <c r="F557">
        <v>246.5</v>
      </c>
      <c r="G557">
        <v>3</v>
      </c>
      <c r="H557">
        <v>0.1</v>
      </c>
      <c r="I557">
        <v>5</v>
      </c>
    </row>
    <row r="558" spans="1:9" x14ac:dyDescent="0.2">
      <c r="A558" t="s">
        <v>599</v>
      </c>
      <c r="B558" s="1">
        <v>45810</v>
      </c>
      <c r="C558" t="s">
        <v>14</v>
      </c>
      <c r="D558" t="s">
        <v>15</v>
      </c>
      <c r="E558" t="s">
        <v>22</v>
      </c>
      <c r="F558">
        <v>383.17</v>
      </c>
      <c r="G558">
        <v>5</v>
      </c>
      <c r="H558">
        <v>0</v>
      </c>
      <c r="I558">
        <v>1</v>
      </c>
    </row>
    <row r="559" spans="1:9" x14ac:dyDescent="0.2">
      <c r="A559" t="s">
        <v>600</v>
      </c>
      <c r="B559" s="1">
        <v>45993</v>
      </c>
      <c r="C559" t="s">
        <v>14</v>
      </c>
      <c r="D559" t="s">
        <v>15</v>
      </c>
      <c r="E559" t="s">
        <v>47</v>
      </c>
      <c r="F559">
        <v>428.37</v>
      </c>
      <c r="G559">
        <v>3</v>
      </c>
      <c r="H559">
        <v>0</v>
      </c>
      <c r="I559">
        <v>5</v>
      </c>
    </row>
    <row r="560" spans="1:9" x14ac:dyDescent="0.2">
      <c r="A560" t="s">
        <v>601</v>
      </c>
      <c r="B560" s="1">
        <v>45820</v>
      </c>
      <c r="C560" t="s">
        <v>32</v>
      </c>
      <c r="D560" t="s">
        <v>21</v>
      </c>
      <c r="E560" t="s">
        <v>47</v>
      </c>
      <c r="F560">
        <v>1360.03</v>
      </c>
      <c r="G560">
        <v>2</v>
      </c>
      <c r="H560">
        <v>0.2</v>
      </c>
      <c r="I560">
        <v>2</v>
      </c>
    </row>
    <row r="561" spans="1:9" x14ac:dyDescent="0.2">
      <c r="A561" t="s">
        <v>602</v>
      </c>
      <c r="B561" s="1">
        <v>45821</v>
      </c>
      <c r="C561" t="s">
        <v>32</v>
      </c>
      <c r="D561" t="s">
        <v>21</v>
      </c>
      <c r="E561" t="s">
        <v>56</v>
      </c>
      <c r="F561">
        <v>1708.21</v>
      </c>
      <c r="G561">
        <v>2</v>
      </c>
      <c r="H561">
        <v>0</v>
      </c>
      <c r="I561">
        <v>4</v>
      </c>
    </row>
    <row r="562" spans="1:9" x14ac:dyDescent="0.2">
      <c r="A562" t="s">
        <v>603</v>
      </c>
      <c r="B562" s="1">
        <v>45913</v>
      </c>
      <c r="C562" t="s">
        <v>20</v>
      </c>
      <c r="D562" t="s">
        <v>21</v>
      </c>
      <c r="E562" t="s">
        <v>39</v>
      </c>
      <c r="F562">
        <v>1473.11</v>
      </c>
      <c r="G562">
        <v>5</v>
      </c>
      <c r="H562">
        <v>0.2</v>
      </c>
      <c r="I562">
        <v>5</v>
      </c>
    </row>
    <row r="563" spans="1:9" x14ac:dyDescent="0.2">
      <c r="A563" t="s">
        <v>604</v>
      </c>
      <c r="B563" s="1">
        <v>45877</v>
      </c>
      <c r="C563" t="s">
        <v>54</v>
      </c>
      <c r="D563" t="s">
        <v>15</v>
      </c>
      <c r="E563" t="s">
        <v>30</v>
      </c>
      <c r="F563">
        <v>320.93</v>
      </c>
      <c r="G563">
        <v>2</v>
      </c>
      <c r="H563">
        <v>0.1</v>
      </c>
      <c r="I563">
        <v>4</v>
      </c>
    </row>
    <row r="564" spans="1:9" x14ac:dyDescent="0.2">
      <c r="A564" t="s">
        <v>605</v>
      </c>
      <c r="B564" s="1">
        <v>45898</v>
      </c>
      <c r="C564" t="s">
        <v>41</v>
      </c>
      <c r="D564" t="s">
        <v>11</v>
      </c>
      <c r="E564" t="s">
        <v>56</v>
      </c>
      <c r="F564">
        <v>981.75</v>
      </c>
      <c r="G564">
        <v>1</v>
      </c>
      <c r="H564">
        <v>0.2</v>
      </c>
    </row>
    <row r="565" spans="1:9" x14ac:dyDescent="0.2">
      <c r="A565" t="s">
        <v>606</v>
      </c>
      <c r="B565" s="1">
        <v>46018</v>
      </c>
      <c r="C565" t="s">
        <v>32</v>
      </c>
      <c r="D565" t="s">
        <v>21</v>
      </c>
      <c r="E565" t="s">
        <v>18</v>
      </c>
      <c r="F565">
        <v>1917.69</v>
      </c>
      <c r="G565">
        <v>2</v>
      </c>
      <c r="H565">
        <v>0</v>
      </c>
      <c r="I565">
        <v>4</v>
      </c>
    </row>
    <row r="566" spans="1:9" x14ac:dyDescent="0.2">
      <c r="A566" t="s">
        <v>607</v>
      </c>
      <c r="B566" s="1">
        <v>45893</v>
      </c>
      <c r="C566" t="s">
        <v>54</v>
      </c>
      <c r="D566" t="s">
        <v>15</v>
      </c>
      <c r="E566" t="s">
        <v>56</v>
      </c>
      <c r="F566">
        <v>281.29000000000002</v>
      </c>
      <c r="G566">
        <v>1</v>
      </c>
      <c r="H566">
        <v>0</v>
      </c>
      <c r="I566">
        <v>5</v>
      </c>
    </row>
    <row r="567" spans="1:9" x14ac:dyDescent="0.2">
      <c r="A567" t="s">
        <v>608</v>
      </c>
      <c r="B567" s="1">
        <v>45739</v>
      </c>
      <c r="C567" t="s">
        <v>14</v>
      </c>
      <c r="D567" t="s">
        <v>15</v>
      </c>
      <c r="E567" t="s">
        <v>18</v>
      </c>
      <c r="F567">
        <v>400.23</v>
      </c>
      <c r="G567">
        <v>5</v>
      </c>
      <c r="H567">
        <v>0.2</v>
      </c>
    </row>
    <row r="568" spans="1:9" x14ac:dyDescent="0.2">
      <c r="A568" t="s">
        <v>609</v>
      </c>
      <c r="B568" s="1">
        <v>45909</v>
      </c>
      <c r="C568" t="s">
        <v>43</v>
      </c>
      <c r="D568" t="s">
        <v>15</v>
      </c>
      <c r="E568" t="s">
        <v>18</v>
      </c>
      <c r="G568">
        <v>1</v>
      </c>
      <c r="H568">
        <v>0</v>
      </c>
      <c r="I568">
        <v>3</v>
      </c>
    </row>
    <row r="569" spans="1:9" x14ac:dyDescent="0.2">
      <c r="A569" t="s">
        <v>610</v>
      </c>
      <c r="B569" s="1">
        <v>45760</v>
      </c>
      <c r="C569" t="s">
        <v>54</v>
      </c>
      <c r="D569" t="s">
        <v>15</v>
      </c>
      <c r="E569" t="s">
        <v>30</v>
      </c>
      <c r="F569">
        <v>426.91</v>
      </c>
      <c r="G569">
        <v>1</v>
      </c>
      <c r="H569">
        <v>0</v>
      </c>
      <c r="I569">
        <v>1</v>
      </c>
    </row>
    <row r="570" spans="1:9" x14ac:dyDescent="0.2">
      <c r="A570" t="s">
        <v>611</v>
      </c>
      <c r="B570" s="1">
        <v>45982</v>
      </c>
      <c r="C570" t="s">
        <v>54</v>
      </c>
      <c r="D570" t="s">
        <v>15</v>
      </c>
      <c r="E570" t="s">
        <v>47</v>
      </c>
      <c r="F570" t="s">
        <v>612</v>
      </c>
      <c r="G570">
        <v>1</v>
      </c>
      <c r="H570">
        <v>0</v>
      </c>
      <c r="I570">
        <v>5</v>
      </c>
    </row>
    <row r="571" spans="1:9" x14ac:dyDescent="0.2">
      <c r="A571" t="s">
        <v>613</v>
      </c>
      <c r="B571" s="1">
        <v>45902</v>
      </c>
      <c r="C571" t="s">
        <v>34</v>
      </c>
      <c r="D571" t="s">
        <v>11</v>
      </c>
      <c r="E571" t="s">
        <v>47</v>
      </c>
      <c r="F571">
        <v>1013.32</v>
      </c>
      <c r="G571">
        <v>1</v>
      </c>
      <c r="H571">
        <v>0</v>
      </c>
      <c r="I571">
        <v>4</v>
      </c>
    </row>
    <row r="572" spans="1:9" x14ac:dyDescent="0.2">
      <c r="A572" t="s">
        <v>614</v>
      </c>
      <c r="B572" s="1">
        <v>45759</v>
      </c>
      <c r="C572" t="s">
        <v>29</v>
      </c>
      <c r="D572" t="s">
        <v>15</v>
      </c>
      <c r="E572" t="s">
        <v>47</v>
      </c>
      <c r="F572">
        <v>390.4</v>
      </c>
      <c r="G572">
        <v>10</v>
      </c>
      <c r="H572">
        <v>0.15</v>
      </c>
      <c r="I572">
        <v>5</v>
      </c>
    </row>
    <row r="573" spans="1:9" x14ac:dyDescent="0.2">
      <c r="A573" t="s">
        <v>615</v>
      </c>
      <c r="B573" s="1">
        <v>45866</v>
      </c>
      <c r="C573" t="s">
        <v>34</v>
      </c>
      <c r="D573" t="s">
        <v>11</v>
      </c>
      <c r="E573" t="s">
        <v>47</v>
      </c>
      <c r="G573">
        <v>1</v>
      </c>
      <c r="H573">
        <v>0</v>
      </c>
      <c r="I573">
        <v>2</v>
      </c>
    </row>
    <row r="574" spans="1:9" x14ac:dyDescent="0.2">
      <c r="A574" t="s">
        <v>616</v>
      </c>
      <c r="B574" s="1">
        <v>45940</v>
      </c>
      <c r="C574" t="s">
        <v>20</v>
      </c>
      <c r="D574" t="s">
        <v>21</v>
      </c>
      <c r="E574" t="s">
        <v>22</v>
      </c>
      <c r="F574">
        <v>1719.55</v>
      </c>
      <c r="G574">
        <v>1</v>
      </c>
      <c r="H574">
        <v>0.1</v>
      </c>
      <c r="I574">
        <v>4</v>
      </c>
    </row>
    <row r="575" spans="1:9" x14ac:dyDescent="0.2">
      <c r="A575" t="s">
        <v>617</v>
      </c>
      <c r="B575" s="1">
        <v>45833</v>
      </c>
      <c r="C575" t="s">
        <v>14</v>
      </c>
      <c r="D575" t="s">
        <v>15</v>
      </c>
      <c r="E575" t="s">
        <v>47</v>
      </c>
      <c r="F575">
        <v>275.27</v>
      </c>
      <c r="G575">
        <v>3</v>
      </c>
      <c r="H575">
        <v>0.2</v>
      </c>
      <c r="I575">
        <v>4</v>
      </c>
    </row>
    <row r="576" spans="1:9" x14ac:dyDescent="0.2">
      <c r="A576" t="s">
        <v>618</v>
      </c>
      <c r="B576" s="1">
        <v>45826</v>
      </c>
      <c r="C576" t="s">
        <v>10</v>
      </c>
      <c r="D576" t="s">
        <v>11</v>
      </c>
      <c r="E576" t="s">
        <v>12</v>
      </c>
      <c r="F576">
        <v>799.34</v>
      </c>
      <c r="G576">
        <v>10</v>
      </c>
      <c r="H576">
        <v>0</v>
      </c>
      <c r="I576">
        <v>5</v>
      </c>
    </row>
    <row r="577" spans="1:9" x14ac:dyDescent="0.2">
      <c r="A577" t="s">
        <v>619</v>
      </c>
      <c r="B577" s="1">
        <v>45806</v>
      </c>
      <c r="C577" t="s">
        <v>37</v>
      </c>
      <c r="D577" t="s">
        <v>11</v>
      </c>
      <c r="E577" t="s">
        <v>56</v>
      </c>
      <c r="F577">
        <v>998.47</v>
      </c>
      <c r="G577">
        <v>5</v>
      </c>
      <c r="H577">
        <v>0.15</v>
      </c>
      <c r="I577">
        <v>5</v>
      </c>
    </row>
    <row r="578" spans="1:9" x14ac:dyDescent="0.2">
      <c r="A578" t="s">
        <v>620</v>
      </c>
      <c r="B578" s="1">
        <v>45798</v>
      </c>
      <c r="C578" t="s">
        <v>17</v>
      </c>
      <c r="D578" t="s">
        <v>11</v>
      </c>
      <c r="E578" t="s">
        <v>12</v>
      </c>
      <c r="F578" t="s">
        <v>621</v>
      </c>
      <c r="G578">
        <v>2</v>
      </c>
      <c r="H578">
        <v>0</v>
      </c>
    </row>
    <row r="579" spans="1:9" x14ac:dyDescent="0.2">
      <c r="A579" t="s">
        <v>622</v>
      </c>
      <c r="B579" s="1">
        <v>45705</v>
      </c>
      <c r="C579" t="s">
        <v>50</v>
      </c>
      <c r="D579" t="s">
        <v>11</v>
      </c>
      <c r="E579" t="s">
        <v>47</v>
      </c>
      <c r="F579">
        <v>1014.48</v>
      </c>
      <c r="G579">
        <v>1</v>
      </c>
      <c r="H579">
        <v>0.15</v>
      </c>
      <c r="I579">
        <v>3</v>
      </c>
    </row>
    <row r="580" spans="1:9" x14ac:dyDescent="0.2">
      <c r="A580" t="s">
        <v>623</v>
      </c>
      <c r="B580" s="1">
        <v>45860</v>
      </c>
      <c r="C580" t="s">
        <v>41</v>
      </c>
      <c r="D580" t="s">
        <v>11</v>
      </c>
      <c r="E580" t="s">
        <v>39</v>
      </c>
      <c r="F580">
        <v>1247.54</v>
      </c>
      <c r="G580">
        <v>10</v>
      </c>
      <c r="H580">
        <v>0</v>
      </c>
      <c r="I580">
        <v>5</v>
      </c>
    </row>
    <row r="581" spans="1:9" x14ac:dyDescent="0.2">
      <c r="A581" t="s">
        <v>624</v>
      </c>
      <c r="B581" s="1">
        <v>45861</v>
      </c>
      <c r="C581" t="s">
        <v>34</v>
      </c>
      <c r="D581" t="s">
        <v>11</v>
      </c>
      <c r="E581" t="s">
        <v>56</v>
      </c>
      <c r="F581">
        <v>1559.05</v>
      </c>
      <c r="G581">
        <v>2</v>
      </c>
      <c r="H581">
        <v>0.2</v>
      </c>
    </row>
    <row r="582" spans="1:9" x14ac:dyDescent="0.2">
      <c r="A582" t="s">
        <v>625</v>
      </c>
      <c r="B582" s="1">
        <v>45868</v>
      </c>
      <c r="C582" t="s">
        <v>29</v>
      </c>
      <c r="D582" t="s">
        <v>15</v>
      </c>
      <c r="E582" t="s">
        <v>18</v>
      </c>
      <c r="F582">
        <v>356.42</v>
      </c>
      <c r="G582">
        <v>2</v>
      </c>
      <c r="H582">
        <v>0</v>
      </c>
      <c r="I582">
        <v>3</v>
      </c>
    </row>
    <row r="583" spans="1:9" x14ac:dyDescent="0.2">
      <c r="A583" t="s">
        <v>626</v>
      </c>
      <c r="B583" s="1">
        <v>46005</v>
      </c>
      <c r="C583" t="s">
        <v>41</v>
      </c>
      <c r="D583" t="s">
        <v>11</v>
      </c>
      <c r="E583" t="s">
        <v>47</v>
      </c>
      <c r="F583">
        <v>1147.42</v>
      </c>
      <c r="G583">
        <v>1</v>
      </c>
      <c r="H583">
        <v>0</v>
      </c>
      <c r="I583">
        <v>5</v>
      </c>
    </row>
    <row r="584" spans="1:9" x14ac:dyDescent="0.2">
      <c r="A584" t="s">
        <v>627</v>
      </c>
      <c r="B584" s="1">
        <v>45797</v>
      </c>
      <c r="C584" t="s">
        <v>24</v>
      </c>
      <c r="D584" t="s">
        <v>15</v>
      </c>
      <c r="E584" t="s">
        <v>22</v>
      </c>
      <c r="G584">
        <v>2</v>
      </c>
      <c r="H584">
        <v>0</v>
      </c>
      <c r="I584">
        <v>4</v>
      </c>
    </row>
    <row r="585" spans="1:9" x14ac:dyDescent="0.2">
      <c r="A585" t="s">
        <v>628</v>
      </c>
      <c r="B585" s="1">
        <v>45993</v>
      </c>
      <c r="C585" t="s">
        <v>37</v>
      </c>
      <c r="D585" t="s">
        <v>11</v>
      </c>
      <c r="E585" t="s">
        <v>18</v>
      </c>
      <c r="F585">
        <v>1363.56</v>
      </c>
      <c r="G585">
        <v>3</v>
      </c>
      <c r="H585">
        <v>0</v>
      </c>
    </row>
    <row r="586" spans="1:9" x14ac:dyDescent="0.2">
      <c r="A586" t="s">
        <v>629</v>
      </c>
      <c r="B586" s="1">
        <v>46015</v>
      </c>
      <c r="C586" t="s">
        <v>10</v>
      </c>
      <c r="D586" t="s">
        <v>11</v>
      </c>
      <c r="E586" t="s">
        <v>39</v>
      </c>
      <c r="F586">
        <v>702.39</v>
      </c>
      <c r="G586">
        <v>3</v>
      </c>
      <c r="H586">
        <v>0.15</v>
      </c>
      <c r="I586">
        <v>1</v>
      </c>
    </row>
    <row r="587" spans="1:9" x14ac:dyDescent="0.2">
      <c r="A587" t="s">
        <v>630</v>
      </c>
      <c r="B587" s="1">
        <v>45818</v>
      </c>
      <c r="C587" t="s">
        <v>78</v>
      </c>
      <c r="D587" t="s">
        <v>11</v>
      </c>
      <c r="E587" t="s">
        <v>30</v>
      </c>
      <c r="F587">
        <v>1061.8499999999999</v>
      </c>
      <c r="G587">
        <v>1</v>
      </c>
      <c r="H587">
        <v>0</v>
      </c>
      <c r="I587">
        <v>5</v>
      </c>
    </row>
    <row r="588" spans="1:9" x14ac:dyDescent="0.2">
      <c r="A588" t="s">
        <v>631</v>
      </c>
      <c r="B588" s="1">
        <v>45773</v>
      </c>
      <c r="C588" t="s">
        <v>78</v>
      </c>
      <c r="D588" t="s">
        <v>11</v>
      </c>
      <c r="E588" t="s">
        <v>47</v>
      </c>
      <c r="F588">
        <v>1572.28</v>
      </c>
      <c r="G588">
        <v>2</v>
      </c>
      <c r="H588">
        <v>0</v>
      </c>
      <c r="I588">
        <v>2</v>
      </c>
    </row>
    <row r="589" spans="1:9" x14ac:dyDescent="0.2">
      <c r="A589" t="s">
        <v>632</v>
      </c>
      <c r="B589" s="1">
        <v>45958</v>
      </c>
      <c r="C589" t="s">
        <v>34</v>
      </c>
      <c r="D589" t="s">
        <v>11</v>
      </c>
      <c r="E589" t="s">
        <v>30</v>
      </c>
      <c r="F589">
        <v>1620.54</v>
      </c>
      <c r="G589">
        <v>1</v>
      </c>
      <c r="H589">
        <v>0</v>
      </c>
    </row>
    <row r="590" spans="1:9" x14ac:dyDescent="0.2">
      <c r="A590" t="s">
        <v>633</v>
      </c>
      <c r="B590" s="1">
        <v>45885</v>
      </c>
      <c r="C590" t="s">
        <v>54</v>
      </c>
      <c r="D590" t="s">
        <v>15</v>
      </c>
      <c r="E590" t="s">
        <v>39</v>
      </c>
      <c r="F590">
        <v>495.28</v>
      </c>
      <c r="G590">
        <v>10</v>
      </c>
      <c r="H590">
        <v>0</v>
      </c>
      <c r="I590">
        <v>2</v>
      </c>
    </row>
    <row r="591" spans="1:9" x14ac:dyDescent="0.2">
      <c r="A591" t="s">
        <v>634</v>
      </c>
      <c r="B591" s="1">
        <v>45802</v>
      </c>
      <c r="C591" t="s">
        <v>32</v>
      </c>
      <c r="D591" t="s">
        <v>21</v>
      </c>
      <c r="E591" t="s">
        <v>18</v>
      </c>
      <c r="F591">
        <v>2161.27</v>
      </c>
      <c r="G591">
        <v>2</v>
      </c>
      <c r="H591">
        <v>0.2</v>
      </c>
      <c r="I591">
        <v>5</v>
      </c>
    </row>
    <row r="592" spans="1:9" x14ac:dyDescent="0.2">
      <c r="A592" t="s">
        <v>635</v>
      </c>
      <c r="B592" s="1">
        <v>46005</v>
      </c>
      <c r="C592" t="s">
        <v>54</v>
      </c>
      <c r="D592" t="s">
        <v>15</v>
      </c>
      <c r="E592" t="s">
        <v>22</v>
      </c>
      <c r="F592">
        <v>289.77</v>
      </c>
      <c r="G592">
        <v>1</v>
      </c>
      <c r="H592">
        <v>0</v>
      </c>
      <c r="I592">
        <v>1</v>
      </c>
    </row>
    <row r="593" spans="1:9" x14ac:dyDescent="0.2">
      <c r="A593" t="s">
        <v>636</v>
      </c>
      <c r="B593" s="1">
        <v>45748</v>
      </c>
      <c r="C593" t="s">
        <v>10</v>
      </c>
      <c r="D593" t="s">
        <v>11</v>
      </c>
      <c r="E593" t="s">
        <v>12</v>
      </c>
      <c r="F593">
        <v>1128.24</v>
      </c>
      <c r="G593">
        <v>5</v>
      </c>
      <c r="H593">
        <v>0</v>
      </c>
      <c r="I593">
        <v>3</v>
      </c>
    </row>
    <row r="594" spans="1:9" x14ac:dyDescent="0.2">
      <c r="A594" t="s">
        <v>637</v>
      </c>
      <c r="B594" s="1">
        <v>45938</v>
      </c>
      <c r="C594" t="s">
        <v>54</v>
      </c>
      <c r="D594" t="s">
        <v>15</v>
      </c>
      <c r="E594" t="s">
        <v>12</v>
      </c>
      <c r="F594">
        <v>378.28</v>
      </c>
      <c r="G594">
        <v>10</v>
      </c>
      <c r="H594">
        <v>0</v>
      </c>
      <c r="I594">
        <v>5</v>
      </c>
    </row>
    <row r="595" spans="1:9" x14ac:dyDescent="0.2">
      <c r="A595" t="s">
        <v>577</v>
      </c>
      <c r="B595" s="1">
        <v>45791</v>
      </c>
      <c r="C595" t="s">
        <v>20</v>
      </c>
      <c r="D595" t="s">
        <v>21</v>
      </c>
      <c r="E595" t="s">
        <v>18</v>
      </c>
      <c r="F595">
        <v>1706.55</v>
      </c>
      <c r="G595">
        <v>3</v>
      </c>
      <c r="H595">
        <v>0.1</v>
      </c>
      <c r="I595">
        <v>5</v>
      </c>
    </row>
    <row r="596" spans="1:9" x14ac:dyDescent="0.2">
      <c r="A596" t="s">
        <v>638</v>
      </c>
      <c r="B596" s="1">
        <v>45817</v>
      </c>
      <c r="C596" t="s">
        <v>41</v>
      </c>
      <c r="D596" t="s">
        <v>11</v>
      </c>
      <c r="E596" t="s">
        <v>18</v>
      </c>
      <c r="F596">
        <v>793.81</v>
      </c>
      <c r="G596">
        <v>3</v>
      </c>
      <c r="H596">
        <v>0</v>
      </c>
    </row>
    <row r="597" spans="1:9" x14ac:dyDescent="0.2">
      <c r="A597" t="s">
        <v>639</v>
      </c>
      <c r="B597" s="1">
        <v>45662</v>
      </c>
      <c r="C597" t="s">
        <v>41</v>
      </c>
      <c r="D597" t="s">
        <v>11</v>
      </c>
      <c r="E597" t="s">
        <v>18</v>
      </c>
      <c r="F597">
        <v>1098.96</v>
      </c>
      <c r="G597">
        <v>10</v>
      </c>
      <c r="H597">
        <v>0</v>
      </c>
      <c r="I597">
        <v>4</v>
      </c>
    </row>
    <row r="598" spans="1:9" x14ac:dyDescent="0.2">
      <c r="A598" t="s">
        <v>640</v>
      </c>
      <c r="B598" s="1">
        <v>45833</v>
      </c>
      <c r="C598" t="s">
        <v>24</v>
      </c>
      <c r="D598" t="s">
        <v>15</v>
      </c>
      <c r="E598" t="s">
        <v>12</v>
      </c>
      <c r="F598">
        <v>380.07</v>
      </c>
      <c r="G598">
        <v>1</v>
      </c>
      <c r="H598">
        <v>0</v>
      </c>
      <c r="I598">
        <v>5</v>
      </c>
    </row>
    <row r="599" spans="1:9" x14ac:dyDescent="0.2">
      <c r="A599" t="s">
        <v>641</v>
      </c>
      <c r="B599" s="1">
        <v>45718</v>
      </c>
      <c r="C599" t="s">
        <v>14</v>
      </c>
      <c r="D599" t="s">
        <v>15</v>
      </c>
      <c r="E599" t="s">
        <v>12</v>
      </c>
      <c r="F599">
        <v>534.27</v>
      </c>
      <c r="G599">
        <v>10</v>
      </c>
      <c r="H599">
        <v>0</v>
      </c>
      <c r="I599">
        <v>2</v>
      </c>
    </row>
    <row r="600" spans="1:9" x14ac:dyDescent="0.2">
      <c r="A600" t="s">
        <v>642</v>
      </c>
      <c r="B600" s="1">
        <v>45889</v>
      </c>
      <c r="C600" t="s">
        <v>34</v>
      </c>
      <c r="D600" t="s">
        <v>11</v>
      </c>
      <c r="E600" t="s">
        <v>22</v>
      </c>
      <c r="F600">
        <v>1470.38</v>
      </c>
      <c r="G600">
        <v>2</v>
      </c>
      <c r="H600">
        <v>0</v>
      </c>
      <c r="I600">
        <v>5</v>
      </c>
    </row>
    <row r="601" spans="1:9" x14ac:dyDescent="0.2">
      <c r="A601" t="s">
        <v>643</v>
      </c>
      <c r="B601" s="1">
        <v>45787</v>
      </c>
      <c r="C601" t="s">
        <v>50</v>
      </c>
      <c r="D601" t="s">
        <v>11</v>
      </c>
      <c r="E601" t="s">
        <v>47</v>
      </c>
      <c r="F601">
        <v>1198.0899999999999</v>
      </c>
      <c r="G601">
        <v>3</v>
      </c>
      <c r="H601">
        <v>0</v>
      </c>
      <c r="I601">
        <v>5</v>
      </c>
    </row>
    <row r="602" spans="1:9" x14ac:dyDescent="0.2">
      <c r="A602" t="s">
        <v>233</v>
      </c>
      <c r="B602" s="1">
        <v>45753</v>
      </c>
      <c r="C602" t="s">
        <v>32</v>
      </c>
      <c r="D602" t="s">
        <v>21</v>
      </c>
      <c r="E602" t="s">
        <v>56</v>
      </c>
      <c r="F602">
        <v>1897.36</v>
      </c>
      <c r="G602">
        <v>5</v>
      </c>
      <c r="H602">
        <v>0.1</v>
      </c>
    </row>
    <row r="603" spans="1:9" x14ac:dyDescent="0.2">
      <c r="A603" t="s">
        <v>644</v>
      </c>
      <c r="B603" s="1">
        <v>46017</v>
      </c>
      <c r="C603" t="s">
        <v>29</v>
      </c>
      <c r="D603" t="s">
        <v>15</v>
      </c>
      <c r="E603" t="s">
        <v>56</v>
      </c>
      <c r="F603">
        <v>384.26</v>
      </c>
      <c r="G603">
        <v>5</v>
      </c>
      <c r="H603">
        <v>0.15</v>
      </c>
      <c r="I603">
        <v>1</v>
      </c>
    </row>
    <row r="604" spans="1:9" x14ac:dyDescent="0.2">
      <c r="A604" t="s">
        <v>645</v>
      </c>
      <c r="B604" s="1">
        <v>45986</v>
      </c>
      <c r="C604" t="s">
        <v>32</v>
      </c>
      <c r="D604" t="s">
        <v>21</v>
      </c>
      <c r="E604" t="s">
        <v>18</v>
      </c>
      <c r="F604">
        <v>1944.62</v>
      </c>
      <c r="G604">
        <v>1</v>
      </c>
      <c r="H604">
        <v>0.1</v>
      </c>
      <c r="I604">
        <v>5</v>
      </c>
    </row>
    <row r="605" spans="1:9" x14ac:dyDescent="0.2">
      <c r="A605" t="s">
        <v>646</v>
      </c>
      <c r="B605" s="1">
        <v>45684</v>
      </c>
      <c r="C605" t="s">
        <v>43</v>
      </c>
      <c r="D605" t="s">
        <v>15</v>
      </c>
      <c r="E605" t="s">
        <v>12</v>
      </c>
      <c r="F605">
        <v>304.83999999999997</v>
      </c>
      <c r="G605">
        <v>1</v>
      </c>
      <c r="H605">
        <v>0.2</v>
      </c>
      <c r="I605">
        <v>5</v>
      </c>
    </row>
    <row r="606" spans="1:9" x14ac:dyDescent="0.2">
      <c r="A606" t="s">
        <v>647</v>
      </c>
      <c r="B606" s="1">
        <v>45690</v>
      </c>
      <c r="C606" t="s">
        <v>10</v>
      </c>
      <c r="D606" t="s">
        <v>11</v>
      </c>
      <c r="E606" t="s">
        <v>39</v>
      </c>
      <c r="F606">
        <v>1289.08</v>
      </c>
      <c r="G606">
        <v>1</v>
      </c>
      <c r="H606">
        <v>0.15</v>
      </c>
      <c r="I606">
        <v>3</v>
      </c>
    </row>
    <row r="607" spans="1:9" x14ac:dyDescent="0.2">
      <c r="A607" t="s">
        <v>648</v>
      </c>
      <c r="B607" s="1">
        <v>45738</v>
      </c>
      <c r="C607" t="s">
        <v>17</v>
      </c>
      <c r="D607" t="s">
        <v>11</v>
      </c>
      <c r="E607" t="s">
        <v>56</v>
      </c>
      <c r="F607">
        <v>966.08</v>
      </c>
      <c r="G607">
        <v>1</v>
      </c>
      <c r="H607">
        <v>0.1</v>
      </c>
      <c r="I607">
        <v>5</v>
      </c>
    </row>
    <row r="608" spans="1:9" x14ac:dyDescent="0.2">
      <c r="A608" t="s">
        <v>649</v>
      </c>
      <c r="B608" s="1">
        <v>45709</v>
      </c>
      <c r="C608" t="s">
        <v>41</v>
      </c>
      <c r="D608" t="s">
        <v>11</v>
      </c>
      <c r="E608" t="s">
        <v>30</v>
      </c>
      <c r="F608">
        <v>1088.22</v>
      </c>
      <c r="G608">
        <v>5</v>
      </c>
      <c r="H608">
        <v>0</v>
      </c>
      <c r="I608">
        <v>5</v>
      </c>
    </row>
    <row r="609" spans="1:9" x14ac:dyDescent="0.2">
      <c r="A609" t="s">
        <v>650</v>
      </c>
      <c r="B609" s="1">
        <v>46017</v>
      </c>
      <c r="C609" t="s">
        <v>24</v>
      </c>
      <c r="D609" t="s">
        <v>15</v>
      </c>
      <c r="F609">
        <v>368.19</v>
      </c>
      <c r="G609">
        <v>10</v>
      </c>
      <c r="H609">
        <v>0</v>
      </c>
      <c r="I609">
        <v>4</v>
      </c>
    </row>
    <row r="610" spans="1:9" x14ac:dyDescent="0.2">
      <c r="A610" t="s">
        <v>651</v>
      </c>
      <c r="B610" s="1">
        <v>45697</v>
      </c>
      <c r="C610" t="s">
        <v>43</v>
      </c>
      <c r="D610" t="s">
        <v>15</v>
      </c>
      <c r="E610" t="s">
        <v>22</v>
      </c>
      <c r="F610">
        <v>281.57</v>
      </c>
      <c r="G610">
        <v>3</v>
      </c>
      <c r="H610">
        <v>0</v>
      </c>
      <c r="I610">
        <v>4</v>
      </c>
    </row>
    <row r="611" spans="1:9" x14ac:dyDescent="0.2">
      <c r="A611" t="s">
        <v>652</v>
      </c>
      <c r="B611" s="1">
        <v>45830</v>
      </c>
      <c r="C611" t="s">
        <v>34</v>
      </c>
      <c r="D611" t="s">
        <v>11</v>
      </c>
      <c r="E611" t="s">
        <v>39</v>
      </c>
      <c r="F611">
        <v>1364.65</v>
      </c>
      <c r="G611">
        <v>2</v>
      </c>
      <c r="H611">
        <v>0.15</v>
      </c>
      <c r="I611">
        <v>4</v>
      </c>
    </row>
    <row r="612" spans="1:9" x14ac:dyDescent="0.2">
      <c r="A612" t="s">
        <v>653</v>
      </c>
      <c r="B612" s="1">
        <v>45994</v>
      </c>
      <c r="C612" t="s">
        <v>41</v>
      </c>
      <c r="D612" t="s">
        <v>11</v>
      </c>
      <c r="E612" t="s">
        <v>56</v>
      </c>
      <c r="F612">
        <v>1203.1199999999999</v>
      </c>
      <c r="G612">
        <v>10</v>
      </c>
      <c r="H612">
        <v>0.1</v>
      </c>
      <c r="I612">
        <v>1</v>
      </c>
    </row>
    <row r="613" spans="1:9" x14ac:dyDescent="0.2">
      <c r="A613" t="s">
        <v>654</v>
      </c>
      <c r="B613" s="1">
        <v>45825</v>
      </c>
      <c r="C613" t="s">
        <v>32</v>
      </c>
      <c r="D613" t="s">
        <v>21</v>
      </c>
      <c r="E613" t="s">
        <v>30</v>
      </c>
      <c r="F613">
        <v>1938.26</v>
      </c>
      <c r="G613">
        <v>10</v>
      </c>
      <c r="H613">
        <v>0</v>
      </c>
      <c r="I613">
        <v>4</v>
      </c>
    </row>
    <row r="614" spans="1:9" x14ac:dyDescent="0.2">
      <c r="A614" t="s">
        <v>655</v>
      </c>
      <c r="B614" s="1">
        <v>45991</v>
      </c>
      <c r="C614" t="s">
        <v>41</v>
      </c>
      <c r="D614" t="s">
        <v>11</v>
      </c>
      <c r="E614" t="s">
        <v>12</v>
      </c>
      <c r="F614">
        <v>1330.41</v>
      </c>
      <c r="G614">
        <v>1</v>
      </c>
      <c r="H614">
        <v>0</v>
      </c>
      <c r="I614">
        <v>5</v>
      </c>
    </row>
    <row r="615" spans="1:9" x14ac:dyDescent="0.2">
      <c r="A615" t="s">
        <v>656</v>
      </c>
      <c r="B615" s="1">
        <v>45847</v>
      </c>
      <c r="C615" t="s">
        <v>54</v>
      </c>
      <c r="D615" t="s">
        <v>15</v>
      </c>
      <c r="E615" t="s">
        <v>30</v>
      </c>
      <c r="F615">
        <v>392.42</v>
      </c>
      <c r="G615">
        <v>5</v>
      </c>
      <c r="H615">
        <v>0</v>
      </c>
      <c r="I615">
        <v>3</v>
      </c>
    </row>
    <row r="616" spans="1:9" x14ac:dyDescent="0.2">
      <c r="A616" t="s">
        <v>657</v>
      </c>
      <c r="B616" s="1">
        <v>45750</v>
      </c>
      <c r="C616" t="s">
        <v>41</v>
      </c>
      <c r="D616" t="s">
        <v>11</v>
      </c>
      <c r="E616" t="s">
        <v>39</v>
      </c>
      <c r="F616">
        <v>1368.07</v>
      </c>
      <c r="G616">
        <v>1</v>
      </c>
      <c r="H616">
        <v>0.1</v>
      </c>
      <c r="I616">
        <v>5</v>
      </c>
    </row>
    <row r="617" spans="1:9" x14ac:dyDescent="0.2">
      <c r="A617" t="s">
        <v>658</v>
      </c>
      <c r="B617" s="1">
        <v>45769</v>
      </c>
      <c r="C617" t="s">
        <v>29</v>
      </c>
      <c r="D617" t="s">
        <v>15</v>
      </c>
      <c r="E617" t="s">
        <v>18</v>
      </c>
      <c r="G617">
        <v>10</v>
      </c>
      <c r="H617">
        <v>0.1</v>
      </c>
      <c r="I617">
        <v>4</v>
      </c>
    </row>
    <row r="618" spans="1:9" x14ac:dyDescent="0.2">
      <c r="A618" t="s">
        <v>659</v>
      </c>
      <c r="B618" s="1">
        <v>45669</v>
      </c>
      <c r="C618" t="s">
        <v>29</v>
      </c>
      <c r="D618" t="s">
        <v>15</v>
      </c>
      <c r="E618" t="s">
        <v>18</v>
      </c>
      <c r="F618">
        <v>389.96</v>
      </c>
      <c r="G618">
        <v>5</v>
      </c>
      <c r="H618">
        <v>0</v>
      </c>
      <c r="I618">
        <v>1</v>
      </c>
    </row>
    <row r="619" spans="1:9" x14ac:dyDescent="0.2">
      <c r="A619" t="s">
        <v>660</v>
      </c>
      <c r="B619" s="1">
        <v>45929</v>
      </c>
      <c r="C619" t="s">
        <v>14</v>
      </c>
      <c r="D619" t="s">
        <v>15</v>
      </c>
      <c r="E619" t="s">
        <v>47</v>
      </c>
      <c r="F619">
        <v>362.92</v>
      </c>
      <c r="G619">
        <v>3</v>
      </c>
      <c r="H619">
        <v>0.1</v>
      </c>
    </row>
    <row r="620" spans="1:9" x14ac:dyDescent="0.2">
      <c r="A620" t="s">
        <v>661</v>
      </c>
      <c r="B620" s="1">
        <v>45661</v>
      </c>
      <c r="C620" t="s">
        <v>32</v>
      </c>
      <c r="D620" t="s">
        <v>21</v>
      </c>
      <c r="E620" t="s">
        <v>18</v>
      </c>
      <c r="F620">
        <v>2070.5</v>
      </c>
      <c r="G620">
        <v>5</v>
      </c>
      <c r="H620">
        <v>0</v>
      </c>
      <c r="I620">
        <v>5</v>
      </c>
    </row>
    <row r="621" spans="1:9" x14ac:dyDescent="0.2">
      <c r="A621" t="s">
        <v>367</v>
      </c>
      <c r="B621" s="1">
        <v>45785</v>
      </c>
      <c r="C621" t="s">
        <v>14</v>
      </c>
      <c r="D621" t="s">
        <v>15</v>
      </c>
      <c r="E621" t="s">
        <v>18</v>
      </c>
      <c r="F621">
        <v>267.17</v>
      </c>
      <c r="G621">
        <v>1</v>
      </c>
      <c r="H621">
        <v>0</v>
      </c>
      <c r="I621">
        <v>5</v>
      </c>
    </row>
    <row r="622" spans="1:9" x14ac:dyDescent="0.2">
      <c r="A622" t="s">
        <v>662</v>
      </c>
      <c r="B622" s="1">
        <v>45730</v>
      </c>
      <c r="C622" t="s">
        <v>50</v>
      </c>
      <c r="D622" t="s">
        <v>11</v>
      </c>
      <c r="E622" t="s">
        <v>39</v>
      </c>
      <c r="F622">
        <v>1395.09</v>
      </c>
      <c r="G622">
        <v>3</v>
      </c>
      <c r="H622">
        <v>0</v>
      </c>
      <c r="I622">
        <v>5</v>
      </c>
    </row>
    <row r="623" spans="1:9" x14ac:dyDescent="0.2">
      <c r="A623" t="s">
        <v>663</v>
      </c>
      <c r="B623" s="1">
        <v>45985</v>
      </c>
      <c r="C623" t="s">
        <v>32</v>
      </c>
      <c r="D623" t="s">
        <v>21</v>
      </c>
      <c r="E623" t="s">
        <v>47</v>
      </c>
      <c r="F623">
        <v>2181.0300000000002</v>
      </c>
      <c r="G623">
        <v>5</v>
      </c>
      <c r="H623">
        <v>0.1</v>
      </c>
    </row>
    <row r="624" spans="1:9" x14ac:dyDescent="0.2">
      <c r="A624" t="s">
        <v>664</v>
      </c>
      <c r="B624" s="1">
        <v>45762</v>
      </c>
      <c r="C624" t="s">
        <v>37</v>
      </c>
      <c r="D624" t="s">
        <v>11</v>
      </c>
      <c r="E624" t="s">
        <v>47</v>
      </c>
      <c r="F624">
        <v>1267.19</v>
      </c>
      <c r="G624">
        <v>1</v>
      </c>
      <c r="H624">
        <v>0.15</v>
      </c>
      <c r="I624">
        <v>5</v>
      </c>
    </row>
    <row r="625" spans="1:9" x14ac:dyDescent="0.2">
      <c r="A625" t="s">
        <v>665</v>
      </c>
      <c r="B625" s="1">
        <v>45809</v>
      </c>
      <c r="C625" t="s">
        <v>78</v>
      </c>
      <c r="D625" t="s">
        <v>11</v>
      </c>
      <c r="E625" t="s">
        <v>22</v>
      </c>
      <c r="F625">
        <v>1053.24</v>
      </c>
      <c r="G625">
        <v>2</v>
      </c>
      <c r="H625">
        <v>0.1</v>
      </c>
      <c r="I625">
        <v>5</v>
      </c>
    </row>
    <row r="626" spans="1:9" x14ac:dyDescent="0.2">
      <c r="A626" t="s">
        <v>125</v>
      </c>
      <c r="B626" s="1">
        <v>45851</v>
      </c>
      <c r="C626" t="s">
        <v>17</v>
      </c>
      <c r="D626" t="s">
        <v>11</v>
      </c>
      <c r="E626" t="s">
        <v>56</v>
      </c>
      <c r="F626">
        <v>1087.33</v>
      </c>
      <c r="G626">
        <v>1</v>
      </c>
      <c r="H626">
        <v>0.15</v>
      </c>
      <c r="I626">
        <v>4</v>
      </c>
    </row>
    <row r="627" spans="1:9" x14ac:dyDescent="0.2">
      <c r="A627" t="s">
        <v>666</v>
      </c>
      <c r="B627" s="1">
        <v>45871</v>
      </c>
      <c r="C627" t="s">
        <v>17</v>
      </c>
      <c r="D627" t="s">
        <v>11</v>
      </c>
      <c r="E627" t="s">
        <v>12</v>
      </c>
      <c r="F627">
        <v>1647.79</v>
      </c>
      <c r="G627">
        <v>2</v>
      </c>
      <c r="H627">
        <v>0.15</v>
      </c>
      <c r="I627">
        <v>5</v>
      </c>
    </row>
    <row r="628" spans="1:9" x14ac:dyDescent="0.2">
      <c r="A628" t="s">
        <v>667</v>
      </c>
      <c r="B628" s="1">
        <v>45763</v>
      </c>
      <c r="C628" t="s">
        <v>14</v>
      </c>
      <c r="D628" t="s">
        <v>15</v>
      </c>
      <c r="E628" t="s">
        <v>12</v>
      </c>
      <c r="F628">
        <v>309.62</v>
      </c>
      <c r="G628">
        <v>10</v>
      </c>
      <c r="H628">
        <v>0</v>
      </c>
      <c r="I628">
        <v>5</v>
      </c>
    </row>
    <row r="629" spans="1:9" x14ac:dyDescent="0.2">
      <c r="A629" t="s">
        <v>668</v>
      </c>
      <c r="B629" s="1">
        <v>45974</v>
      </c>
      <c r="C629" t="s">
        <v>37</v>
      </c>
      <c r="D629" t="s">
        <v>11</v>
      </c>
      <c r="E629" t="s">
        <v>12</v>
      </c>
      <c r="F629">
        <v>1057.83</v>
      </c>
      <c r="G629">
        <v>2</v>
      </c>
      <c r="H629">
        <v>0</v>
      </c>
      <c r="I629">
        <v>2</v>
      </c>
    </row>
    <row r="630" spans="1:9" x14ac:dyDescent="0.2">
      <c r="A630" t="s">
        <v>669</v>
      </c>
      <c r="B630" s="1">
        <v>45968</v>
      </c>
      <c r="C630" t="s">
        <v>32</v>
      </c>
      <c r="D630" t="s">
        <v>21</v>
      </c>
      <c r="E630" t="s">
        <v>22</v>
      </c>
      <c r="F630">
        <v>2386.3000000000002</v>
      </c>
      <c r="G630">
        <v>3</v>
      </c>
      <c r="H630">
        <v>0.1</v>
      </c>
    </row>
    <row r="631" spans="1:9" x14ac:dyDescent="0.2">
      <c r="A631" t="s">
        <v>670</v>
      </c>
      <c r="B631" s="1">
        <v>45996</v>
      </c>
      <c r="C631" t="s">
        <v>43</v>
      </c>
      <c r="D631" t="s">
        <v>15</v>
      </c>
      <c r="F631">
        <v>464.27</v>
      </c>
      <c r="G631">
        <v>5</v>
      </c>
      <c r="H631">
        <v>0.1</v>
      </c>
      <c r="I631">
        <v>5</v>
      </c>
    </row>
    <row r="632" spans="1:9" x14ac:dyDescent="0.2">
      <c r="A632" t="s">
        <v>671</v>
      </c>
      <c r="B632" s="1">
        <v>45682</v>
      </c>
      <c r="C632" t="s">
        <v>17</v>
      </c>
      <c r="D632" t="s">
        <v>11</v>
      </c>
      <c r="E632" t="s">
        <v>22</v>
      </c>
      <c r="F632">
        <v>1208.46</v>
      </c>
      <c r="G632">
        <v>3</v>
      </c>
      <c r="H632">
        <v>0.2</v>
      </c>
      <c r="I632">
        <v>5</v>
      </c>
    </row>
    <row r="633" spans="1:9" x14ac:dyDescent="0.2">
      <c r="A633" t="s">
        <v>672</v>
      </c>
      <c r="B633" s="1">
        <v>45953</v>
      </c>
      <c r="C633" t="s">
        <v>14</v>
      </c>
      <c r="D633" t="s">
        <v>15</v>
      </c>
      <c r="E633" t="s">
        <v>30</v>
      </c>
      <c r="F633">
        <v>366.49</v>
      </c>
      <c r="G633">
        <v>2</v>
      </c>
      <c r="H633">
        <v>0.2</v>
      </c>
      <c r="I633">
        <v>5</v>
      </c>
    </row>
    <row r="634" spans="1:9" x14ac:dyDescent="0.2">
      <c r="A634" t="s">
        <v>673</v>
      </c>
      <c r="B634" s="1">
        <v>45883</v>
      </c>
      <c r="C634" t="s">
        <v>54</v>
      </c>
      <c r="D634" t="s">
        <v>15</v>
      </c>
      <c r="E634" t="s">
        <v>22</v>
      </c>
      <c r="G634">
        <v>5</v>
      </c>
      <c r="H634">
        <v>0</v>
      </c>
      <c r="I634">
        <v>3</v>
      </c>
    </row>
    <row r="635" spans="1:9" x14ac:dyDescent="0.2">
      <c r="A635" t="s">
        <v>674</v>
      </c>
      <c r="B635" s="1">
        <v>45998</v>
      </c>
      <c r="C635" t="s">
        <v>54</v>
      </c>
      <c r="D635" t="s">
        <v>15</v>
      </c>
      <c r="E635" t="s">
        <v>18</v>
      </c>
      <c r="F635">
        <v>316.10000000000002</v>
      </c>
      <c r="G635">
        <v>5</v>
      </c>
      <c r="H635">
        <v>0.2</v>
      </c>
      <c r="I635">
        <v>1</v>
      </c>
    </row>
    <row r="636" spans="1:9" x14ac:dyDescent="0.2">
      <c r="A636" t="s">
        <v>675</v>
      </c>
      <c r="B636" s="1">
        <v>45771</v>
      </c>
      <c r="C636" t="s">
        <v>41</v>
      </c>
      <c r="D636" t="s">
        <v>11</v>
      </c>
      <c r="E636" t="s">
        <v>12</v>
      </c>
      <c r="F636">
        <v>934.43</v>
      </c>
      <c r="G636">
        <v>1</v>
      </c>
      <c r="H636">
        <v>0</v>
      </c>
      <c r="I636">
        <v>5</v>
      </c>
    </row>
    <row r="637" spans="1:9" x14ac:dyDescent="0.2">
      <c r="A637" t="s">
        <v>676</v>
      </c>
      <c r="B637" s="1">
        <v>45658</v>
      </c>
      <c r="C637" t="s">
        <v>10</v>
      </c>
      <c r="D637" t="s">
        <v>11</v>
      </c>
      <c r="E637" t="s">
        <v>56</v>
      </c>
      <c r="F637">
        <v>1306.6199999999999</v>
      </c>
      <c r="G637">
        <v>1</v>
      </c>
      <c r="H637">
        <v>0.1</v>
      </c>
      <c r="I637">
        <v>5</v>
      </c>
    </row>
    <row r="638" spans="1:9" x14ac:dyDescent="0.2">
      <c r="A638" t="s">
        <v>677</v>
      </c>
      <c r="B638" s="1">
        <v>45945</v>
      </c>
      <c r="C638" t="s">
        <v>41</v>
      </c>
      <c r="D638" t="s">
        <v>11</v>
      </c>
      <c r="E638" t="s">
        <v>22</v>
      </c>
      <c r="F638">
        <v>1269.55</v>
      </c>
      <c r="G638">
        <v>10</v>
      </c>
      <c r="H638">
        <v>0.1</v>
      </c>
      <c r="I638">
        <v>5</v>
      </c>
    </row>
    <row r="639" spans="1:9" x14ac:dyDescent="0.2">
      <c r="A639" t="s">
        <v>678</v>
      </c>
      <c r="B639" s="1">
        <v>45812</v>
      </c>
      <c r="C639" t="s">
        <v>14</v>
      </c>
      <c r="D639" t="s">
        <v>15</v>
      </c>
      <c r="E639" t="s">
        <v>12</v>
      </c>
      <c r="F639">
        <v>386.05</v>
      </c>
      <c r="G639">
        <v>2</v>
      </c>
      <c r="H639">
        <v>0.1</v>
      </c>
      <c r="I639">
        <v>5</v>
      </c>
    </row>
    <row r="640" spans="1:9" x14ac:dyDescent="0.2">
      <c r="A640" t="s">
        <v>679</v>
      </c>
      <c r="B640" s="1">
        <v>45695</v>
      </c>
      <c r="C640" t="s">
        <v>24</v>
      </c>
      <c r="D640" t="s">
        <v>15</v>
      </c>
      <c r="E640" t="s">
        <v>47</v>
      </c>
      <c r="F640">
        <v>391.18</v>
      </c>
      <c r="G640">
        <v>2</v>
      </c>
      <c r="H640">
        <v>0.1</v>
      </c>
      <c r="I640">
        <v>5</v>
      </c>
    </row>
    <row r="641" spans="1:9" x14ac:dyDescent="0.2">
      <c r="A641" t="s">
        <v>680</v>
      </c>
      <c r="B641" s="1">
        <v>45710</v>
      </c>
      <c r="C641" t="s">
        <v>32</v>
      </c>
      <c r="D641" t="s">
        <v>21</v>
      </c>
      <c r="E641" t="s">
        <v>39</v>
      </c>
      <c r="F641">
        <v>1750.22</v>
      </c>
      <c r="G641">
        <v>1</v>
      </c>
      <c r="H641">
        <v>0.15</v>
      </c>
      <c r="I641">
        <v>5</v>
      </c>
    </row>
    <row r="642" spans="1:9" x14ac:dyDescent="0.2">
      <c r="A642" t="s">
        <v>681</v>
      </c>
      <c r="B642" s="1">
        <v>45822</v>
      </c>
      <c r="C642" t="s">
        <v>17</v>
      </c>
      <c r="D642" t="s">
        <v>11</v>
      </c>
      <c r="E642" t="s">
        <v>18</v>
      </c>
      <c r="G642">
        <v>1</v>
      </c>
      <c r="H642">
        <v>0</v>
      </c>
      <c r="I642">
        <v>5</v>
      </c>
    </row>
    <row r="643" spans="1:9" x14ac:dyDescent="0.2">
      <c r="A643" t="s">
        <v>682</v>
      </c>
      <c r="B643" s="1">
        <v>45860</v>
      </c>
      <c r="C643" t="s">
        <v>34</v>
      </c>
      <c r="D643" t="s">
        <v>11</v>
      </c>
      <c r="E643" t="s">
        <v>30</v>
      </c>
      <c r="F643">
        <v>1231.3800000000001</v>
      </c>
      <c r="G643">
        <v>1</v>
      </c>
      <c r="H643">
        <v>0</v>
      </c>
      <c r="I643">
        <v>4</v>
      </c>
    </row>
    <row r="644" spans="1:9" x14ac:dyDescent="0.2">
      <c r="A644" t="s">
        <v>683</v>
      </c>
      <c r="B644" s="1">
        <v>45974</v>
      </c>
      <c r="C644" t="s">
        <v>32</v>
      </c>
      <c r="D644" t="s">
        <v>21</v>
      </c>
      <c r="E644" t="s">
        <v>12</v>
      </c>
      <c r="F644">
        <v>1350.8</v>
      </c>
      <c r="G644">
        <v>1</v>
      </c>
      <c r="H644">
        <v>0.2</v>
      </c>
      <c r="I644">
        <v>2</v>
      </c>
    </row>
    <row r="645" spans="1:9" x14ac:dyDescent="0.2">
      <c r="A645" t="s">
        <v>684</v>
      </c>
      <c r="B645" s="1">
        <v>45832</v>
      </c>
      <c r="C645" t="s">
        <v>10</v>
      </c>
      <c r="D645" t="s">
        <v>11</v>
      </c>
      <c r="E645" t="s">
        <v>30</v>
      </c>
      <c r="F645">
        <v>933.46</v>
      </c>
      <c r="G645">
        <v>1</v>
      </c>
      <c r="H645">
        <v>0</v>
      </c>
      <c r="I645">
        <v>1</v>
      </c>
    </row>
    <row r="646" spans="1:9" x14ac:dyDescent="0.2">
      <c r="A646" t="s">
        <v>685</v>
      </c>
      <c r="B646" s="1">
        <v>45834</v>
      </c>
      <c r="C646" t="s">
        <v>10</v>
      </c>
      <c r="D646" t="s">
        <v>11</v>
      </c>
      <c r="E646" t="s">
        <v>22</v>
      </c>
      <c r="F646">
        <v>1225.54</v>
      </c>
      <c r="G646">
        <v>3</v>
      </c>
      <c r="H646">
        <v>0.1</v>
      </c>
      <c r="I646">
        <v>4</v>
      </c>
    </row>
    <row r="647" spans="1:9" x14ac:dyDescent="0.2">
      <c r="A647" t="s">
        <v>686</v>
      </c>
      <c r="B647" s="1">
        <v>45744</v>
      </c>
      <c r="C647" t="s">
        <v>10</v>
      </c>
      <c r="D647" t="s">
        <v>11</v>
      </c>
      <c r="F647">
        <v>848.76</v>
      </c>
      <c r="G647">
        <v>1</v>
      </c>
      <c r="H647">
        <v>0</v>
      </c>
    </row>
    <row r="648" spans="1:9" x14ac:dyDescent="0.2">
      <c r="A648" t="s">
        <v>687</v>
      </c>
      <c r="B648" s="1">
        <v>45925</v>
      </c>
      <c r="C648" t="s">
        <v>10</v>
      </c>
      <c r="D648" t="s">
        <v>11</v>
      </c>
      <c r="E648" t="s">
        <v>18</v>
      </c>
      <c r="F648">
        <v>1242.6500000000001</v>
      </c>
      <c r="G648">
        <v>2</v>
      </c>
      <c r="H648">
        <v>0</v>
      </c>
      <c r="I648">
        <v>5</v>
      </c>
    </row>
    <row r="649" spans="1:9" x14ac:dyDescent="0.2">
      <c r="A649" t="s">
        <v>688</v>
      </c>
      <c r="B649" s="1">
        <v>45755</v>
      </c>
      <c r="C649" t="s">
        <v>10</v>
      </c>
      <c r="D649" t="s">
        <v>11</v>
      </c>
      <c r="E649" t="s">
        <v>22</v>
      </c>
      <c r="F649">
        <v>1172.24</v>
      </c>
      <c r="G649">
        <v>1</v>
      </c>
      <c r="H649">
        <v>0</v>
      </c>
      <c r="I649">
        <v>5</v>
      </c>
    </row>
    <row r="650" spans="1:9" x14ac:dyDescent="0.2">
      <c r="A650" t="s">
        <v>689</v>
      </c>
      <c r="B650" s="1">
        <v>45729</v>
      </c>
      <c r="C650" t="s">
        <v>37</v>
      </c>
      <c r="D650" t="s">
        <v>11</v>
      </c>
      <c r="E650" t="s">
        <v>12</v>
      </c>
      <c r="F650">
        <v>1135.47</v>
      </c>
      <c r="G650">
        <v>1</v>
      </c>
      <c r="H650">
        <v>0</v>
      </c>
      <c r="I650">
        <v>1</v>
      </c>
    </row>
    <row r="651" spans="1:9" x14ac:dyDescent="0.2">
      <c r="A651" t="s">
        <v>291</v>
      </c>
      <c r="B651" s="1">
        <v>45665</v>
      </c>
      <c r="C651" t="s">
        <v>29</v>
      </c>
      <c r="D651" t="s">
        <v>15</v>
      </c>
      <c r="E651" t="s">
        <v>18</v>
      </c>
      <c r="F651">
        <v>430.45</v>
      </c>
      <c r="G651">
        <v>3</v>
      </c>
      <c r="H651">
        <v>0.15</v>
      </c>
      <c r="I651">
        <v>4</v>
      </c>
    </row>
    <row r="652" spans="1:9" x14ac:dyDescent="0.2">
      <c r="A652" t="s">
        <v>690</v>
      </c>
      <c r="B652" s="1">
        <v>45686</v>
      </c>
      <c r="C652" t="s">
        <v>34</v>
      </c>
      <c r="D652" t="s">
        <v>11</v>
      </c>
      <c r="E652" t="s">
        <v>56</v>
      </c>
      <c r="F652">
        <v>862.2</v>
      </c>
      <c r="G652">
        <v>2</v>
      </c>
      <c r="H652">
        <v>0.15</v>
      </c>
      <c r="I652">
        <v>4</v>
      </c>
    </row>
    <row r="653" spans="1:9" x14ac:dyDescent="0.2">
      <c r="A653" t="s">
        <v>691</v>
      </c>
      <c r="B653" s="1">
        <v>46002</v>
      </c>
      <c r="C653" t="s">
        <v>37</v>
      </c>
      <c r="D653" t="s">
        <v>11</v>
      </c>
      <c r="E653" t="s">
        <v>47</v>
      </c>
      <c r="F653">
        <v>1213.3699999999999</v>
      </c>
      <c r="G653">
        <v>1</v>
      </c>
      <c r="H653">
        <v>0</v>
      </c>
      <c r="I653">
        <v>4</v>
      </c>
    </row>
    <row r="654" spans="1:9" x14ac:dyDescent="0.2">
      <c r="A654" t="s">
        <v>692</v>
      </c>
      <c r="B654" s="1">
        <v>45713</v>
      </c>
      <c r="C654" t="s">
        <v>29</v>
      </c>
      <c r="D654" t="s">
        <v>15</v>
      </c>
      <c r="E654" t="s">
        <v>18</v>
      </c>
      <c r="F654">
        <v>299.61</v>
      </c>
      <c r="G654">
        <v>2</v>
      </c>
      <c r="H654">
        <v>0</v>
      </c>
      <c r="I654">
        <v>4</v>
      </c>
    </row>
    <row r="655" spans="1:9" x14ac:dyDescent="0.2">
      <c r="A655" t="s">
        <v>693</v>
      </c>
      <c r="B655" s="1">
        <v>45898</v>
      </c>
      <c r="C655" t="s">
        <v>29</v>
      </c>
      <c r="D655" t="s">
        <v>15</v>
      </c>
      <c r="E655" t="s">
        <v>47</v>
      </c>
      <c r="F655">
        <v>405.1</v>
      </c>
      <c r="G655">
        <v>2</v>
      </c>
      <c r="H655">
        <v>0</v>
      </c>
      <c r="I655">
        <v>4</v>
      </c>
    </row>
    <row r="656" spans="1:9" x14ac:dyDescent="0.2">
      <c r="A656" t="s">
        <v>694</v>
      </c>
      <c r="B656" s="1">
        <v>45681</v>
      </c>
      <c r="C656" t="s">
        <v>10</v>
      </c>
      <c r="D656" t="s">
        <v>11</v>
      </c>
      <c r="E656" t="s">
        <v>47</v>
      </c>
      <c r="F656">
        <v>1462.61</v>
      </c>
      <c r="G656">
        <v>5</v>
      </c>
      <c r="H656">
        <v>0</v>
      </c>
      <c r="I656">
        <v>5</v>
      </c>
    </row>
    <row r="657" spans="1:9" x14ac:dyDescent="0.2">
      <c r="A657" t="s">
        <v>695</v>
      </c>
      <c r="B657" s="1">
        <v>45846</v>
      </c>
      <c r="C657" t="s">
        <v>34</v>
      </c>
      <c r="D657" t="s">
        <v>11</v>
      </c>
      <c r="E657" t="s">
        <v>56</v>
      </c>
      <c r="F657">
        <v>1267.44</v>
      </c>
      <c r="G657">
        <v>2</v>
      </c>
      <c r="H657">
        <v>0</v>
      </c>
      <c r="I657">
        <v>2</v>
      </c>
    </row>
    <row r="658" spans="1:9" x14ac:dyDescent="0.2">
      <c r="A658" t="s">
        <v>696</v>
      </c>
      <c r="B658" s="1">
        <v>46016</v>
      </c>
      <c r="C658" t="s">
        <v>78</v>
      </c>
      <c r="D658" t="s">
        <v>11</v>
      </c>
      <c r="E658" t="s">
        <v>18</v>
      </c>
      <c r="F658">
        <v>994.54</v>
      </c>
      <c r="G658">
        <v>2</v>
      </c>
      <c r="H658">
        <v>0.1</v>
      </c>
      <c r="I658">
        <v>2</v>
      </c>
    </row>
    <row r="659" spans="1:9" x14ac:dyDescent="0.2">
      <c r="A659" t="s">
        <v>697</v>
      </c>
      <c r="B659" s="1">
        <v>46011</v>
      </c>
      <c r="C659" t="s">
        <v>26</v>
      </c>
      <c r="D659" t="s">
        <v>27</v>
      </c>
      <c r="E659" t="s">
        <v>18</v>
      </c>
      <c r="F659">
        <v>438.22</v>
      </c>
      <c r="G659">
        <v>2</v>
      </c>
      <c r="H659">
        <v>0</v>
      </c>
      <c r="I659">
        <v>5</v>
      </c>
    </row>
    <row r="660" spans="1:9" x14ac:dyDescent="0.2">
      <c r="A660" t="s">
        <v>698</v>
      </c>
      <c r="B660" s="1">
        <v>45681</v>
      </c>
      <c r="C660" t="s">
        <v>32</v>
      </c>
      <c r="D660" t="s">
        <v>21</v>
      </c>
      <c r="E660" t="s">
        <v>56</v>
      </c>
      <c r="F660">
        <v>2437.4899999999998</v>
      </c>
      <c r="G660">
        <v>2</v>
      </c>
      <c r="H660">
        <v>0</v>
      </c>
      <c r="I660">
        <v>5</v>
      </c>
    </row>
    <row r="661" spans="1:9" x14ac:dyDescent="0.2">
      <c r="A661" t="s">
        <v>699</v>
      </c>
      <c r="B661" s="1">
        <v>46022</v>
      </c>
      <c r="C661" t="s">
        <v>20</v>
      </c>
      <c r="D661" t="s">
        <v>21</v>
      </c>
      <c r="E661" t="s">
        <v>30</v>
      </c>
      <c r="G661">
        <v>3</v>
      </c>
      <c r="H661">
        <v>0</v>
      </c>
      <c r="I661">
        <v>5</v>
      </c>
    </row>
    <row r="662" spans="1:9" x14ac:dyDescent="0.2">
      <c r="A662" t="s">
        <v>700</v>
      </c>
      <c r="B662" s="1">
        <v>45836</v>
      </c>
      <c r="C662" t="s">
        <v>41</v>
      </c>
      <c r="D662" t="s">
        <v>11</v>
      </c>
      <c r="E662" t="s">
        <v>22</v>
      </c>
      <c r="F662">
        <v>1205.04</v>
      </c>
      <c r="G662">
        <v>1</v>
      </c>
      <c r="H662">
        <v>0.1</v>
      </c>
      <c r="I662">
        <v>1</v>
      </c>
    </row>
    <row r="663" spans="1:9" x14ac:dyDescent="0.2">
      <c r="A663" t="s">
        <v>701</v>
      </c>
      <c r="B663" s="1">
        <v>45973</v>
      </c>
      <c r="C663" t="s">
        <v>41</v>
      </c>
      <c r="D663" t="s">
        <v>11</v>
      </c>
      <c r="E663" t="s">
        <v>22</v>
      </c>
      <c r="F663">
        <v>1024.71</v>
      </c>
      <c r="G663">
        <v>5</v>
      </c>
      <c r="H663">
        <v>0</v>
      </c>
      <c r="I663">
        <v>1</v>
      </c>
    </row>
    <row r="664" spans="1:9" x14ac:dyDescent="0.2">
      <c r="A664" t="s">
        <v>702</v>
      </c>
      <c r="B664" s="1">
        <v>45784</v>
      </c>
      <c r="C664" t="s">
        <v>32</v>
      </c>
      <c r="D664" t="s">
        <v>21</v>
      </c>
      <c r="E664" t="s">
        <v>56</v>
      </c>
      <c r="F664">
        <v>845.65</v>
      </c>
      <c r="G664">
        <v>2</v>
      </c>
      <c r="H664">
        <v>0</v>
      </c>
    </row>
    <row r="665" spans="1:9" x14ac:dyDescent="0.2">
      <c r="A665" t="s">
        <v>703</v>
      </c>
      <c r="B665" s="1">
        <v>45866</v>
      </c>
      <c r="C665" t="s">
        <v>26</v>
      </c>
      <c r="D665" t="s">
        <v>27</v>
      </c>
      <c r="E665" t="s">
        <v>12</v>
      </c>
      <c r="F665">
        <v>610.45000000000005</v>
      </c>
      <c r="G665">
        <v>1</v>
      </c>
      <c r="H665">
        <v>0</v>
      </c>
      <c r="I665">
        <v>3</v>
      </c>
    </row>
    <row r="666" spans="1:9" x14ac:dyDescent="0.2">
      <c r="A666" t="s">
        <v>704</v>
      </c>
      <c r="B666" s="1">
        <v>45758</v>
      </c>
      <c r="C666" t="s">
        <v>10</v>
      </c>
      <c r="D666" t="s">
        <v>11</v>
      </c>
      <c r="F666">
        <v>1097.55</v>
      </c>
      <c r="G666">
        <v>2</v>
      </c>
      <c r="H666">
        <v>0</v>
      </c>
      <c r="I666">
        <v>1</v>
      </c>
    </row>
    <row r="667" spans="1:9" x14ac:dyDescent="0.2">
      <c r="A667" t="s">
        <v>705</v>
      </c>
      <c r="B667" s="1">
        <v>45696</v>
      </c>
      <c r="C667" t="s">
        <v>10</v>
      </c>
      <c r="D667" t="s">
        <v>11</v>
      </c>
      <c r="E667" t="s">
        <v>47</v>
      </c>
      <c r="F667">
        <v>1334.35</v>
      </c>
      <c r="G667">
        <v>1</v>
      </c>
      <c r="H667">
        <v>0</v>
      </c>
      <c r="I667">
        <v>4</v>
      </c>
    </row>
    <row r="668" spans="1:9" x14ac:dyDescent="0.2">
      <c r="A668" t="s">
        <v>706</v>
      </c>
      <c r="B668" s="1">
        <v>45853</v>
      </c>
      <c r="C668" t="s">
        <v>29</v>
      </c>
      <c r="D668" t="s">
        <v>15</v>
      </c>
      <c r="E668" t="s">
        <v>18</v>
      </c>
      <c r="F668">
        <v>304.27</v>
      </c>
      <c r="G668">
        <v>2</v>
      </c>
      <c r="H668">
        <v>0.1</v>
      </c>
    </row>
    <row r="669" spans="1:9" x14ac:dyDescent="0.2">
      <c r="A669" t="s">
        <v>707</v>
      </c>
      <c r="B669" s="1">
        <v>45946</v>
      </c>
      <c r="C669" t="s">
        <v>54</v>
      </c>
      <c r="D669" t="s">
        <v>15</v>
      </c>
      <c r="E669" t="s">
        <v>56</v>
      </c>
      <c r="F669">
        <v>390.36</v>
      </c>
      <c r="G669">
        <v>2</v>
      </c>
      <c r="H669">
        <v>0.2</v>
      </c>
      <c r="I669">
        <v>3</v>
      </c>
    </row>
    <row r="670" spans="1:9" x14ac:dyDescent="0.2">
      <c r="A670" t="s">
        <v>708</v>
      </c>
      <c r="B670" s="1">
        <v>45834</v>
      </c>
      <c r="C670" t="s">
        <v>50</v>
      </c>
      <c r="D670" t="s">
        <v>11</v>
      </c>
      <c r="E670" t="s">
        <v>22</v>
      </c>
      <c r="F670">
        <v>1079.58</v>
      </c>
      <c r="G670">
        <v>3</v>
      </c>
      <c r="H670">
        <v>0.1</v>
      </c>
    </row>
    <row r="671" spans="1:9" x14ac:dyDescent="0.2">
      <c r="A671" t="s">
        <v>709</v>
      </c>
      <c r="B671" s="1">
        <v>45958</v>
      </c>
      <c r="C671" t="s">
        <v>10</v>
      </c>
      <c r="D671" t="s">
        <v>11</v>
      </c>
      <c r="E671" t="s">
        <v>12</v>
      </c>
      <c r="F671">
        <v>1061.8</v>
      </c>
      <c r="G671">
        <v>2</v>
      </c>
      <c r="H671">
        <v>0.1</v>
      </c>
      <c r="I671">
        <v>4</v>
      </c>
    </row>
    <row r="672" spans="1:9" x14ac:dyDescent="0.2">
      <c r="A672" t="s">
        <v>710</v>
      </c>
      <c r="B672" s="1">
        <v>45983</v>
      </c>
      <c r="C672" t="s">
        <v>78</v>
      </c>
      <c r="D672" t="s">
        <v>11</v>
      </c>
      <c r="E672" t="s">
        <v>56</v>
      </c>
      <c r="F672">
        <v>1461.35</v>
      </c>
      <c r="G672">
        <v>10</v>
      </c>
      <c r="H672">
        <v>0.2</v>
      </c>
      <c r="I672">
        <v>4</v>
      </c>
    </row>
    <row r="673" spans="1:9" x14ac:dyDescent="0.2">
      <c r="A673" t="s">
        <v>711</v>
      </c>
      <c r="B673" s="1">
        <v>45987</v>
      </c>
      <c r="C673" t="s">
        <v>17</v>
      </c>
      <c r="D673" t="s">
        <v>11</v>
      </c>
      <c r="F673">
        <v>984.66</v>
      </c>
      <c r="G673">
        <v>1</v>
      </c>
      <c r="H673">
        <v>0.2</v>
      </c>
      <c r="I673">
        <v>5</v>
      </c>
    </row>
    <row r="674" spans="1:9" x14ac:dyDescent="0.2">
      <c r="A674" t="s">
        <v>712</v>
      </c>
      <c r="B674" s="1">
        <v>45799</v>
      </c>
      <c r="C674" t="s">
        <v>34</v>
      </c>
      <c r="D674" t="s">
        <v>11</v>
      </c>
      <c r="E674" t="s">
        <v>22</v>
      </c>
      <c r="F674">
        <v>1043.6199999999999</v>
      </c>
      <c r="G674">
        <v>2</v>
      </c>
      <c r="H674">
        <v>0</v>
      </c>
      <c r="I674">
        <v>5</v>
      </c>
    </row>
    <row r="675" spans="1:9" x14ac:dyDescent="0.2">
      <c r="A675" t="s">
        <v>713</v>
      </c>
      <c r="B675" s="1">
        <v>45848</v>
      </c>
      <c r="C675" t="s">
        <v>43</v>
      </c>
      <c r="D675" t="s">
        <v>15</v>
      </c>
      <c r="E675" t="s">
        <v>56</v>
      </c>
      <c r="F675">
        <v>408.12</v>
      </c>
      <c r="G675">
        <v>1</v>
      </c>
      <c r="H675">
        <v>0</v>
      </c>
      <c r="I675">
        <v>5</v>
      </c>
    </row>
    <row r="676" spans="1:9" x14ac:dyDescent="0.2">
      <c r="A676" t="s">
        <v>714</v>
      </c>
      <c r="B676" s="1">
        <v>45821</v>
      </c>
      <c r="C676" t="s">
        <v>10</v>
      </c>
      <c r="D676" t="s">
        <v>11</v>
      </c>
      <c r="E676" t="s">
        <v>12</v>
      </c>
      <c r="F676">
        <v>1140.23</v>
      </c>
      <c r="G676">
        <v>2</v>
      </c>
      <c r="H676">
        <v>0</v>
      </c>
      <c r="I676">
        <v>5</v>
      </c>
    </row>
    <row r="677" spans="1:9" x14ac:dyDescent="0.2">
      <c r="A677" t="s">
        <v>715</v>
      </c>
      <c r="B677" s="1">
        <v>45731</v>
      </c>
      <c r="C677" t="s">
        <v>43</v>
      </c>
      <c r="D677" t="s">
        <v>15</v>
      </c>
      <c r="E677" t="s">
        <v>22</v>
      </c>
      <c r="F677">
        <v>230.29</v>
      </c>
      <c r="G677">
        <v>5</v>
      </c>
      <c r="H677">
        <v>0</v>
      </c>
      <c r="I677">
        <v>5</v>
      </c>
    </row>
    <row r="678" spans="1:9" x14ac:dyDescent="0.2">
      <c r="A678" t="s">
        <v>716</v>
      </c>
      <c r="B678" s="1">
        <v>45792</v>
      </c>
      <c r="C678" t="s">
        <v>14</v>
      </c>
      <c r="D678" t="s">
        <v>15</v>
      </c>
      <c r="E678" t="s">
        <v>56</v>
      </c>
      <c r="F678">
        <v>260.37</v>
      </c>
      <c r="G678">
        <v>10</v>
      </c>
      <c r="H678">
        <v>0.1</v>
      </c>
      <c r="I678">
        <v>4</v>
      </c>
    </row>
    <row r="679" spans="1:9" x14ac:dyDescent="0.2">
      <c r="A679" t="s">
        <v>717</v>
      </c>
      <c r="B679" s="1">
        <v>45854</v>
      </c>
      <c r="C679" t="s">
        <v>50</v>
      </c>
      <c r="D679" t="s">
        <v>11</v>
      </c>
      <c r="E679" t="s">
        <v>39</v>
      </c>
      <c r="F679">
        <v>1290.55</v>
      </c>
      <c r="G679">
        <v>3</v>
      </c>
      <c r="H679">
        <v>0.1</v>
      </c>
      <c r="I679">
        <v>5</v>
      </c>
    </row>
    <row r="680" spans="1:9" x14ac:dyDescent="0.2">
      <c r="A680" t="s">
        <v>718</v>
      </c>
      <c r="B680" s="1">
        <v>45871</v>
      </c>
      <c r="C680" t="s">
        <v>26</v>
      </c>
      <c r="D680" t="s">
        <v>27</v>
      </c>
      <c r="E680" t="s">
        <v>30</v>
      </c>
      <c r="F680">
        <v>810.64</v>
      </c>
      <c r="G680">
        <v>1</v>
      </c>
      <c r="H680">
        <v>0</v>
      </c>
      <c r="I680">
        <v>5</v>
      </c>
    </row>
    <row r="681" spans="1:9" x14ac:dyDescent="0.2">
      <c r="A681" t="s">
        <v>719</v>
      </c>
      <c r="B681" s="1">
        <v>45989</v>
      </c>
      <c r="C681" t="s">
        <v>14</v>
      </c>
      <c r="D681" t="s">
        <v>15</v>
      </c>
      <c r="E681" t="s">
        <v>56</v>
      </c>
      <c r="F681">
        <v>275.04000000000002</v>
      </c>
      <c r="G681">
        <v>1</v>
      </c>
      <c r="H681">
        <v>0.1</v>
      </c>
      <c r="I681">
        <v>4</v>
      </c>
    </row>
    <row r="682" spans="1:9" x14ac:dyDescent="0.2">
      <c r="A682" t="s">
        <v>720</v>
      </c>
      <c r="B682" s="1">
        <v>46017</v>
      </c>
      <c r="C682" t="s">
        <v>29</v>
      </c>
      <c r="D682" t="s">
        <v>15</v>
      </c>
      <c r="E682" t="s">
        <v>30</v>
      </c>
      <c r="F682" t="s">
        <v>721</v>
      </c>
      <c r="G682">
        <v>1</v>
      </c>
      <c r="H682">
        <v>0</v>
      </c>
      <c r="I682">
        <v>5</v>
      </c>
    </row>
    <row r="683" spans="1:9" x14ac:dyDescent="0.2">
      <c r="A683" t="s">
        <v>722</v>
      </c>
      <c r="B683" s="1">
        <v>45981</v>
      </c>
      <c r="C683" t="s">
        <v>29</v>
      </c>
      <c r="D683" t="s">
        <v>15</v>
      </c>
      <c r="E683" t="s">
        <v>22</v>
      </c>
      <c r="F683">
        <v>355.31</v>
      </c>
      <c r="G683">
        <v>1</v>
      </c>
      <c r="H683">
        <v>0</v>
      </c>
      <c r="I683">
        <v>2</v>
      </c>
    </row>
    <row r="684" spans="1:9" x14ac:dyDescent="0.2">
      <c r="A684" t="s">
        <v>723</v>
      </c>
      <c r="B684" s="1">
        <v>45928</v>
      </c>
      <c r="C684" t="s">
        <v>17</v>
      </c>
      <c r="D684" t="s">
        <v>11</v>
      </c>
      <c r="E684" t="s">
        <v>22</v>
      </c>
      <c r="F684">
        <v>791.19</v>
      </c>
      <c r="G684">
        <v>3</v>
      </c>
      <c r="H684">
        <v>0</v>
      </c>
      <c r="I684">
        <v>2</v>
      </c>
    </row>
    <row r="685" spans="1:9" x14ac:dyDescent="0.2">
      <c r="A685" t="s">
        <v>724</v>
      </c>
      <c r="B685" s="1">
        <v>45906</v>
      </c>
      <c r="C685" t="s">
        <v>32</v>
      </c>
      <c r="D685" t="s">
        <v>21</v>
      </c>
      <c r="E685" t="s">
        <v>22</v>
      </c>
      <c r="F685">
        <v>1165.31</v>
      </c>
      <c r="G685">
        <v>10</v>
      </c>
      <c r="H685">
        <v>0</v>
      </c>
      <c r="I685">
        <v>5</v>
      </c>
    </row>
    <row r="686" spans="1:9" x14ac:dyDescent="0.2">
      <c r="A686" t="s">
        <v>725</v>
      </c>
      <c r="B686" s="1">
        <v>45832</v>
      </c>
      <c r="C686" t="s">
        <v>29</v>
      </c>
      <c r="D686" t="s">
        <v>15</v>
      </c>
      <c r="E686" t="s">
        <v>22</v>
      </c>
      <c r="G686">
        <v>2</v>
      </c>
      <c r="H686">
        <v>0</v>
      </c>
      <c r="I686">
        <v>4</v>
      </c>
    </row>
    <row r="687" spans="1:9" x14ac:dyDescent="0.2">
      <c r="A687" t="s">
        <v>726</v>
      </c>
      <c r="B687" s="1">
        <v>45851</v>
      </c>
      <c r="C687" t="s">
        <v>29</v>
      </c>
      <c r="D687" t="s">
        <v>15</v>
      </c>
      <c r="E687" t="s">
        <v>22</v>
      </c>
      <c r="F687">
        <v>286.7</v>
      </c>
      <c r="G687">
        <v>1</v>
      </c>
      <c r="H687">
        <v>0.1</v>
      </c>
      <c r="I687">
        <v>5</v>
      </c>
    </row>
    <row r="688" spans="1:9" x14ac:dyDescent="0.2">
      <c r="A688" t="s">
        <v>727</v>
      </c>
      <c r="B688" s="1">
        <v>45766</v>
      </c>
      <c r="C688" t="s">
        <v>37</v>
      </c>
      <c r="D688" t="s">
        <v>11</v>
      </c>
      <c r="E688" t="s">
        <v>39</v>
      </c>
      <c r="G688">
        <v>1</v>
      </c>
      <c r="H688">
        <v>0</v>
      </c>
      <c r="I688">
        <v>5</v>
      </c>
    </row>
    <row r="689" spans="1:9" x14ac:dyDescent="0.2">
      <c r="A689" t="s">
        <v>728</v>
      </c>
      <c r="B689" s="1">
        <v>45930</v>
      </c>
      <c r="C689" t="s">
        <v>34</v>
      </c>
      <c r="D689" t="s">
        <v>11</v>
      </c>
      <c r="E689" t="s">
        <v>56</v>
      </c>
      <c r="F689">
        <v>1044.82</v>
      </c>
      <c r="G689">
        <v>5</v>
      </c>
      <c r="H689">
        <v>0</v>
      </c>
      <c r="I689">
        <v>1</v>
      </c>
    </row>
    <row r="690" spans="1:9" x14ac:dyDescent="0.2">
      <c r="A690" t="s">
        <v>729</v>
      </c>
      <c r="B690" s="1">
        <v>46010</v>
      </c>
      <c r="C690" t="s">
        <v>17</v>
      </c>
      <c r="D690" t="s">
        <v>11</v>
      </c>
      <c r="E690" t="s">
        <v>47</v>
      </c>
      <c r="F690">
        <v>1207.1400000000001</v>
      </c>
      <c r="G690">
        <v>1</v>
      </c>
      <c r="H690">
        <v>0.1</v>
      </c>
      <c r="I690">
        <v>4</v>
      </c>
    </row>
    <row r="691" spans="1:9" x14ac:dyDescent="0.2">
      <c r="A691" t="s">
        <v>730</v>
      </c>
      <c r="B691" s="1">
        <v>45696</v>
      </c>
      <c r="C691" t="s">
        <v>43</v>
      </c>
      <c r="D691" t="s">
        <v>15</v>
      </c>
      <c r="E691" t="s">
        <v>56</v>
      </c>
      <c r="F691">
        <v>336.68</v>
      </c>
      <c r="G691">
        <v>2</v>
      </c>
      <c r="H691">
        <v>0.15</v>
      </c>
      <c r="I691">
        <v>1</v>
      </c>
    </row>
    <row r="692" spans="1:9" x14ac:dyDescent="0.2">
      <c r="A692" t="s">
        <v>731</v>
      </c>
      <c r="B692" s="1">
        <v>45866</v>
      </c>
      <c r="C692" t="s">
        <v>26</v>
      </c>
      <c r="D692" t="s">
        <v>27</v>
      </c>
      <c r="E692" t="s">
        <v>12</v>
      </c>
      <c r="G692">
        <v>10</v>
      </c>
      <c r="H692">
        <v>0.15</v>
      </c>
      <c r="I692">
        <v>5</v>
      </c>
    </row>
    <row r="693" spans="1:9" x14ac:dyDescent="0.2">
      <c r="A693" t="s">
        <v>732</v>
      </c>
      <c r="B693" s="1">
        <v>45784</v>
      </c>
      <c r="C693" t="s">
        <v>14</v>
      </c>
      <c r="D693" t="s">
        <v>15</v>
      </c>
      <c r="E693" t="s">
        <v>18</v>
      </c>
      <c r="F693">
        <v>482.03</v>
      </c>
      <c r="G693">
        <v>2</v>
      </c>
      <c r="H693">
        <v>0.15</v>
      </c>
      <c r="I693">
        <v>5</v>
      </c>
    </row>
    <row r="694" spans="1:9" x14ac:dyDescent="0.2">
      <c r="A694" t="s">
        <v>733</v>
      </c>
      <c r="B694" s="1">
        <v>45687</v>
      </c>
      <c r="C694" t="s">
        <v>14</v>
      </c>
      <c r="D694" t="s">
        <v>15</v>
      </c>
      <c r="E694" t="s">
        <v>47</v>
      </c>
      <c r="F694">
        <v>343.76</v>
      </c>
      <c r="G694">
        <v>10</v>
      </c>
      <c r="H694">
        <v>0.2</v>
      </c>
      <c r="I694">
        <v>4</v>
      </c>
    </row>
    <row r="695" spans="1:9" x14ac:dyDescent="0.2">
      <c r="A695" t="s">
        <v>734</v>
      </c>
      <c r="B695" s="1">
        <v>46003</v>
      </c>
      <c r="C695" t="s">
        <v>41</v>
      </c>
      <c r="D695" t="s">
        <v>11</v>
      </c>
      <c r="E695" t="s">
        <v>39</v>
      </c>
      <c r="F695">
        <v>1604.91</v>
      </c>
      <c r="G695">
        <v>5</v>
      </c>
      <c r="H695">
        <v>0</v>
      </c>
      <c r="I695">
        <v>2</v>
      </c>
    </row>
    <row r="696" spans="1:9" x14ac:dyDescent="0.2">
      <c r="A696" t="s">
        <v>735</v>
      </c>
      <c r="B696" s="1">
        <v>45764</v>
      </c>
      <c r="C696" t="s">
        <v>17</v>
      </c>
      <c r="D696" t="s">
        <v>11</v>
      </c>
      <c r="E696" t="s">
        <v>18</v>
      </c>
      <c r="F696">
        <v>552.75</v>
      </c>
      <c r="G696">
        <v>10</v>
      </c>
      <c r="H696">
        <v>0</v>
      </c>
      <c r="I696">
        <v>5</v>
      </c>
    </row>
    <row r="697" spans="1:9" x14ac:dyDescent="0.2">
      <c r="A697" t="s">
        <v>736</v>
      </c>
      <c r="B697" s="1">
        <v>45844</v>
      </c>
      <c r="C697" t="s">
        <v>78</v>
      </c>
      <c r="D697" t="s">
        <v>11</v>
      </c>
      <c r="E697" t="s">
        <v>12</v>
      </c>
      <c r="F697">
        <v>1258.07</v>
      </c>
      <c r="G697">
        <v>1</v>
      </c>
      <c r="H697">
        <v>0</v>
      </c>
      <c r="I697">
        <v>5</v>
      </c>
    </row>
    <row r="698" spans="1:9" x14ac:dyDescent="0.2">
      <c r="A698" t="s">
        <v>737</v>
      </c>
      <c r="B698" s="1">
        <v>46015</v>
      </c>
      <c r="C698" t="s">
        <v>41</v>
      </c>
      <c r="D698" t="s">
        <v>11</v>
      </c>
      <c r="E698" t="s">
        <v>30</v>
      </c>
      <c r="F698">
        <v>1092.8399999999999</v>
      </c>
      <c r="G698">
        <v>2</v>
      </c>
      <c r="H698">
        <v>0.15</v>
      </c>
      <c r="I698">
        <v>5</v>
      </c>
    </row>
    <row r="699" spans="1:9" x14ac:dyDescent="0.2">
      <c r="A699" t="s">
        <v>738</v>
      </c>
      <c r="B699" s="1">
        <v>45732</v>
      </c>
      <c r="C699" t="s">
        <v>20</v>
      </c>
      <c r="D699" t="s">
        <v>21</v>
      </c>
      <c r="E699" t="s">
        <v>56</v>
      </c>
      <c r="F699">
        <v>2370.9699999999998</v>
      </c>
      <c r="G699">
        <v>2</v>
      </c>
      <c r="H699">
        <v>0</v>
      </c>
      <c r="I699">
        <v>3</v>
      </c>
    </row>
    <row r="700" spans="1:9" x14ac:dyDescent="0.2">
      <c r="A700" t="s">
        <v>739</v>
      </c>
      <c r="B700" s="1">
        <v>45934</v>
      </c>
      <c r="C700" t="s">
        <v>10</v>
      </c>
      <c r="D700" t="s">
        <v>11</v>
      </c>
      <c r="E700" t="s">
        <v>30</v>
      </c>
      <c r="F700">
        <v>1129.99</v>
      </c>
      <c r="G700">
        <v>1</v>
      </c>
      <c r="H700">
        <v>0.15</v>
      </c>
      <c r="I700">
        <v>5</v>
      </c>
    </row>
    <row r="701" spans="1:9" x14ac:dyDescent="0.2">
      <c r="A701" t="s">
        <v>740</v>
      </c>
      <c r="B701" s="1">
        <v>45775</v>
      </c>
      <c r="C701" t="s">
        <v>34</v>
      </c>
      <c r="D701" t="s">
        <v>11</v>
      </c>
      <c r="E701" t="s">
        <v>56</v>
      </c>
      <c r="F701">
        <v>1019.1</v>
      </c>
      <c r="G701">
        <v>1</v>
      </c>
      <c r="H701">
        <v>0.2</v>
      </c>
      <c r="I701">
        <v>4</v>
      </c>
    </row>
    <row r="702" spans="1:9" x14ac:dyDescent="0.2">
      <c r="A702" t="s">
        <v>741</v>
      </c>
      <c r="B702" s="1">
        <v>45780</v>
      </c>
      <c r="C702" t="s">
        <v>78</v>
      </c>
      <c r="D702" t="s">
        <v>11</v>
      </c>
      <c r="E702" t="s">
        <v>47</v>
      </c>
      <c r="F702">
        <v>1350.16</v>
      </c>
      <c r="G702">
        <v>1</v>
      </c>
      <c r="H702">
        <v>0</v>
      </c>
    </row>
    <row r="703" spans="1:9" x14ac:dyDescent="0.2">
      <c r="A703" t="s">
        <v>742</v>
      </c>
      <c r="B703" s="1">
        <v>45782</v>
      </c>
      <c r="C703" t="s">
        <v>14</v>
      </c>
      <c r="D703" t="s">
        <v>15</v>
      </c>
      <c r="E703" t="s">
        <v>22</v>
      </c>
      <c r="F703">
        <v>250.92</v>
      </c>
      <c r="G703">
        <v>1</v>
      </c>
      <c r="H703">
        <v>0.2</v>
      </c>
      <c r="I703">
        <v>1</v>
      </c>
    </row>
    <row r="704" spans="1:9" x14ac:dyDescent="0.2">
      <c r="A704" t="s">
        <v>743</v>
      </c>
      <c r="B704" s="1">
        <v>46003</v>
      </c>
      <c r="C704" t="s">
        <v>41</v>
      </c>
      <c r="D704" t="s">
        <v>11</v>
      </c>
      <c r="E704" t="s">
        <v>18</v>
      </c>
      <c r="F704" t="s">
        <v>744</v>
      </c>
      <c r="G704">
        <v>5</v>
      </c>
      <c r="H704">
        <v>0</v>
      </c>
      <c r="I704">
        <v>5</v>
      </c>
    </row>
    <row r="705" spans="1:9" x14ac:dyDescent="0.2">
      <c r="A705" t="s">
        <v>745</v>
      </c>
      <c r="B705" s="1">
        <v>45988</v>
      </c>
      <c r="C705" t="s">
        <v>41</v>
      </c>
      <c r="D705" t="s">
        <v>11</v>
      </c>
      <c r="E705" t="s">
        <v>22</v>
      </c>
      <c r="G705">
        <v>3</v>
      </c>
      <c r="H705">
        <v>0.15</v>
      </c>
      <c r="I705">
        <v>2</v>
      </c>
    </row>
    <row r="706" spans="1:9" x14ac:dyDescent="0.2">
      <c r="A706" t="s">
        <v>746</v>
      </c>
      <c r="B706" s="1">
        <v>45719</v>
      </c>
      <c r="C706" t="s">
        <v>43</v>
      </c>
      <c r="D706" t="s">
        <v>15</v>
      </c>
      <c r="E706" t="s">
        <v>12</v>
      </c>
      <c r="F706">
        <v>346.2</v>
      </c>
      <c r="G706">
        <v>1</v>
      </c>
      <c r="H706">
        <v>0</v>
      </c>
      <c r="I706">
        <v>4</v>
      </c>
    </row>
    <row r="707" spans="1:9" x14ac:dyDescent="0.2">
      <c r="A707" t="s">
        <v>747</v>
      </c>
      <c r="B707" s="1">
        <v>45997</v>
      </c>
      <c r="C707" t="s">
        <v>41</v>
      </c>
      <c r="D707" t="s">
        <v>11</v>
      </c>
      <c r="E707" t="s">
        <v>30</v>
      </c>
      <c r="F707">
        <v>1183.1600000000001</v>
      </c>
      <c r="G707">
        <v>1</v>
      </c>
      <c r="H707">
        <v>0</v>
      </c>
      <c r="I707">
        <v>5</v>
      </c>
    </row>
    <row r="708" spans="1:9" x14ac:dyDescent="0.2">
      <c r="A708" t="s">
        <v>748</v>
      </c>
      <c r="B708" s="1">
        <v>45771</v>
      </c>
      <c r="C708" t="s">
        <v>78</v>
      </c>
      <c r="D708" t="s">
        <v>11</v>
      </c>
      <c r="E708" t="s">
        <v>56</v>
      </c>
      <c r="F708">
        <v>1452.87</v>
      </c>
      <c r="G708">
        <v>3</v>
      </c>
      <c r="H708">
        <v>0</v>
      </c>
      <c r="I708">
        <v>4</v>
      </c>
    </row>
    <row r="709" spans="1:9" x14ac:dyDescent="0.2">
      <c r="A709" t="s">
        <v>749</v>
      </c>
      <c r="B709" s="1">
        <v>45937</v>
      </c>
      <c r="C709" t="s">
        <v>14</v>
      </c>
      <c r="D709" t="s">
        <v>15</v>
      </c>
      <c r="E709" t="s">
        <v>39</v>
      </c>
      <c r="F709">
        <v>417.15</v>
      </c>
      <c r="G709">
        <v>2</v>
      </c>
      <c r="H709">
        <v>0.2</v>
      </c>
      <c r="I709">
        <v>4</v>
      </c>
    </row>
    <row r="710" spans="1:9" x14ac:dyDescent="0.2">
      <c r="A710" t="s">
        <v>750</v>
      </c>
      <c r="B710" s="1">
        <v>45695</v>
      </c>
      <c r="C710" t="s">
        <v>41</v>
      </c>
      <c r="D710" t="s">
        <v>11</v>
      </c>
      <c r="F710">
        <v>1424.56</v>
      </c>
      <c r="G710">
        <v>3</v>
      </c>
      <c r="H710">
        <v>0.2</v>
      </c>
      <c r="I710">
        <v>5</v>
      </c>
    </row>
    <row r="711" spans="1:9" x14ac:dyDescent="0.2">
      <c r="A711" t="s">
        <v>751</v>
      </c>
      <c r="B711" s="1">
        <v>45956</v>
      </c>
      <c r="C711" t="s">
        <v>50</v>
      </c>
      <c r="D711" t="s">
        <v>11</v>
      </c>
      <c r="E711" t="s">
        <v>47</v>
      </c>
      <c r="F711">
        <v>1112.73</v>
      </c>
      <c r="G711">
        <v>1</v>
      </c>
      <c r="H711">
        <v>0</v>
      </c>
      <c r="I711">
        <v>2</v>
      </c>
    </row>
    <row r="712" spans="1:9" x14ac:dyDescent="0.2">
      <c r="A712" t="s">
        <v>752</v>
      </c>
      <c r="B712" s="1">
        <v>46014</v>
      </c>
      <c r="C712" t="s">
        <v>41</v>
      </c>
      <c r="D712" t="s">
        <v>11</v>
      </c>
      <c r="E712" t="s">
        <v>39</v>
      </c>
      <c r="F712">
        <v>1144.58</v>
      </c>
      <c r="G712">
        <v>1</v>
      </c>
      <c r="H712">
        <v>0</v>
      </c>
      <c r="I712">
        <v>5</v>
      </c>
    </row>
    <row r="713" spans="1:9" x14ac:dyDescent="0.2">
      <c r="A713" t="s">
        <v>753</v>
      </c>
      <c r="B713" s="1">
        <v>45943</v>
      </c>
      <c r="C713" t="s">
        <v>43</v>
      </c>
      <c r="D713" t="s">
        <v>15</v>
      </c>
      <c r="E713" t="s">
        <v>56</v>
      </c>
      <c r="F713">
        <v>487.53</v>
      </c>
      <c r="G713">
        <v>1</v>
      </c>
      <c r="H713">
        <v>0.2</v>
      </c>
      <c r="I713">
        <v>5</v>
      </c>
    </row>
    <row r="714" spans="1:9" x14ac:dyDescent="0.2">
      <c r="A714" t="s">
        <v>754</v>
      </c>
      <c r="B714" s="1">
        <v>45767</v>
      </c>
      <c r="C714" t="s">
        <v>29</v>
      </c>
      <c r="D714" t="s">
        <v>15</v>
      </c>
      <c r="E714" t="s">
        <v>22</v>
      </c>
      <c r="F714">
        <v>439.44</v>
      </c>
      <c r="G714">
        <v>2</v>
      </c>
      <c r="H714">
        <v>0.15</v>
      </c>
      <c r="I714">
        <v>4</v>
      </c>
    </row>
    <row r="715" spans="1:9" x14ac:dyDescent="0.2">
      <c r="A715" t="s">
        <v>755</v>
      </c>
      <c r="B715" s="1">
        <v>45664</v>
      </c>
      <c r="C715" t="s">
        <v>78</v>
      </c>
      <c r="D715" t="s">
        <v>11</v>
      </c>
      <c r="E715" t="s">
        <v>18</v>
      </c>
      <c r="F715">
        <v>1216.46</v>
      </c>
      <c r="G715">
        <v>5</v>
      </c>
      <c r="H715">
        <v>0.1</v>
      </c>
      <c r="I715">
        <v>2</v>
      </c>
    </row>
    <row r="716" spans="1:9" x14ac:dyDescent="0.2">
      <c r="A716" t="s">
        <v>756</v>
      </c>
      <c r="B716" s="1">
        <v>45827</v>
      </c>
      <c r="C716" t="s">
        <v>26</v>
      </c>
      <c r="D716" t="s">
        <v>27</v>
      </c>
      <c r="E716" t="s">
        <v>56</v>
      </c>
      <c r="F716">
        <v>623.62</v>
      </c>
      <c r="G716">
        <v>1</v>
      </c>
      <c r="H716">
        <v>0.15</v>
      </c>
      <c r="I716">
        <v>4</v>
      </c>
    </row>
    <row r="717" spans="1:9" x14ac:dyDescent="0.2">
      <c r="A717" t="s">
        <v>757</v>
      </c>
      <c r="B717" s="1">
        <v>45817</v>
      </c>
      <c r="C717" t="s">
        <v>26</v>
      </c>
      <c r="D717" t="s">
        <v>27</v>
      </c>
      <c r="E717" t="s">
        <v>39</v>
      </c>
      <c r="F717">
        <v>780.28</v>
      </c>
      <c r="G717">
        <v>1</v>
      </c>
      <c r="H717">
        <v>0.2</v>
      </c>
      <c r="I717">
        <v>4</v>
      </c>
    </row>
    <row r="718" spans="1:9" x14ac:dyDescent="0.2">
      <c r="A718" t="s">
        <v>758</v>
      </c>
      <c r="B718" s="1">
        <v>45844</v>
      </c>
      <c r="C718" t="s">
        <v>34</v>
      </c>
      <c r="D718" t="s">
        <v>11</v>
      </c>
      <c r="E718" t="s">
        <v>47</v>
      </c>
      <c r="F718">
        <v>1382.15</v>
      </c>
      <c r="G718">
        <v>1</v>
      </c>
      <c r="H718">
        <v>0</v>
      </c>
      <c r="I718">
        <v>4</v>
      </c>
    </row>
    <row r="719" spans="1:9" x14ac:dyDescent="0.2">
      <c r="A719" t="s">
        <v>759</v>
      </c>
      <c r="B719" s="1">
        <v>45730</v>
      </c>
      <c r="C719" t="s">
        <v>24</v>
      </c>
      <c r="D719" t="s">
        <v>15</v>
      </c>
      <c r="E719" t="s">
        <v>39</v>
      </c>
      <c r="F719">
        <v>321.17</v>
      </c>
      <c r="G719">
        <v>5</v>
      </c>
      <c r="H719">
        <v>0.1</v>
      </c>
      <c r="I719">
        <v>3</v>
      </c>
    </row>
    <row r="720" spans="1:9" x14ac:dyDescent="0.2">
      <c r="A720" t="s">
        <v>760</v>
      </c>
      <c r="B720" s="1">
        <v>45875</v>
      </c>
      <c r="C720" t="s">
        <v>17</v>
      </c>
      <c r="D720" t="s">
        <v>11</v>
      </c>
      <c r="E720" t="s">
        <v>30</v>
      </c>
      <c r="F720">
        <v>710.85</v>
      </c>
      <c r="G720">
        <v>1</v>
      </c>
      <c r="H720">
        <v>0.2</v>
      </c>
      <c r="I720">
        <v>4</v>
      </c>
    </row>
    <row r="721" spans="1:9" x14ac:dyDescent="0.2">
      <c r="A721" t="s">
        <v>761</v>
      </c>
      <c r="B721" s="1">
        <v>45912</v>
      </c>
      <c r="C721" t="s">
        <v>24</v>
      </c>
      <c r="D721" t="s">
        <v>15</v>
      </c>
      <c r="E721" t="s">
        <v>47</v>
      </c>
      <c r="F721">
        <v>465.15</v>
      </c>
      <c r="G721">
        <v>10</v>
      </c>
      <c r="H721">
        <v>0</v>
      </c>
      <c r="I721">
        <v>5</v>
      </c>
    </row>
    <row r="722" spans="1:9" x14ac:dyDescent="0.2">
      <c r="A722" t="s">
        <v>762</v>
      </c>
      <c r="B722" s="1">
        <v>45680</v>
      </c>
      <c r="C722" t="s">
        <v>20</v>
      </c>
      <c r="D722" t="s">
        <v>21</v>
      </c>
      <c r="E722" t="s">
        <v>39</v>
      </c>
      <c r="F722">
        <v>1761.47</v>
      </c>
      <c r="G722">
        <v>5</v>
      </c>
      <c r="H722">
        <v>0.1</v>
      </c>
      <c r="I722">
        <v>4</v>
      </c>
    </row>
    <row r="723" spans="1:9" x14ac:dyDescent="0.2">
      <c r="A723" t="s">
        <v>763</v>
      </c>
      <c r="B723" s="1">
        <v>45797</v>
      </c>
      <c r="C723" t="s">
        <v>34</v>
      </c>
      <c r="D723" t="s">
        <v>11</v>
      </c>
      <c r="E723" t="s">
        <v>30</v>
      </c>
      <c r="F723">
        <v>977.54</v>
      </c>
      <c r="G723">
        <v>2</v>
      </c>
      <c r="H723">
        <v>0</v>
      </c>
      <c r="I723">
        <v>5</v>
      </c>
    </row>
    <row r="724" spans="1:9" x14ac:dyDescent="0.2">
      <c r="A724" t="s">
        <v>764</v>
      </c>
      <c r="B724" s="1">
        <v>45990</v>
      </c>
      <c r="C724" t="s">
        <v>54</v>
      </c>
      <c r="D724" t="s">
        <v>15</v>
      </c>
      <c r="E724" t="s">
        <v>39</v>
      </c>
      <c r="F724">
        <v>264.54000000000002</v>
      </c>
      <c r="G724">
        <v>3</v>
      </c>
      <c r="H724">
        <v>0.1</v>
      </c>
    </row>
    <row r="725" spans="1:9" x14ac:dyDescent="0.2">
      <c r="A725" t="s">
        <v>765</v>
      </c>
      <c r="B725" s="1">
        <v>45898</v>
      </c>
      <c r="C725" t="s">
        <v>43</v>
      </c>
      <c r="D725" t="s">
        <v>15</v>
      </c>
      <c r="E725" t="s">
        <v>12</v>
      </c>
      <c r="F725">
        <v>335.85</v>
      </c>
      <c r="G725">
        <v>2</v>
      </c>
      <c r="H725">
        <v>0</v>
      </c>
      <c r="I725">
        <v>5</v>
      </c>
    </row>
    <row r="726" spans="1:9" x14ac:dyDescent="0.2">
      <c r="A726" t="s">
        <v>766</v>
      </c>
      <c r="B726" s="1">
        <v>45824</v>
      </c>
      <c r="C726" t="s">
        <v>54</v>
      </c>
      <c r="D726" t="s">
        <v>15</v>
      </c>
      <c r="E726" t="s">
        <v>56</v>
      </c>
      <c r="F726">
        <v>363.93</v>
      </c>
      <c r="G726">
        <v>1</v>
      </c>
      <c r="H726">
        <v>0.15</v>
      </c>
      <c r="I726">
        <v>5</v>
      </c>
    </row>
    <row r="727" spans="1:9" x14ac:dyDescent="0.2">
      <c r="A727" t="s">
        <v>767</v>
      </c>
      <c r="B727" s="1">
        <v>45850</v>
      </c>
      <c r="C727" t="s">
        <v>10</v>
      </c>
      <c r="D727" t="s">
        <v>11</v>
      </c>
      <c r="F727">
        <v>1397.56</v>
      </c>
      <c r="G727">
        <v>2</v>
      </c>
      <c r="H727">
        <v>0</v>
      </c>
      <c r="I727">
        <v>4</v>
      </c>
    </row>
    <row r="728" spans="1:9" x14ac:dyDescent="0.2">
      <c r="A728" t="s">
        <v>768</v>
      </c>
      <c r="B728" s="1">
        <v>45980</v>
      </c>
      <c r="C728" t="s">
        <v>24</v>
      </c>
      <c r="D728" t="s">
        <v>15</v>
      </c>
      <c r="E728" t="s">
        <v>39</v>
      </c>
      <c r="F728">
        <v>530.14</v>
      </c>
      <c r="G728">
        <v>1</v>
      </c>
      <c r="H728">
        <v>0.15</v>
      </c>
      <c r="I728">
        <v>4</v>
      </c>
    </row>
    <row r="729" spans="1:9" x14ac:dyDescent="0.2">
      <c r="A729" t="s">
        <v>769</v>
      </c>
      <c r="B729" s="1">
        <v>45743</v>
      </c>
      <c r="C729" t="s">
        <v>41</v>
      </c>
      <c r="D729" t="s">
        <v>11</v>
      </c>
      <c r="E729" t="s">
        <v>47</v>
      </c>
      <c r="F729">
        <v>1651.69</v>
      </c>
      <c r="G729">
        <v>3</v>
      </c>
      <c r="H729">
        <v>0</v>
      </c>
      <c r="I729">
        <v>4</v>
      </c>
    </row>
    <row r="730" spans="1:9" x14ac:dyDescent="0.2">
      <c r="A730" t="s">
        <v>770</v>
      </c>
      <c r="B730" s="1">
        <v>45828</v>
      </c>
      <c r="C730" t="s">
        <v>32</v>
      </c>
      <c r="D730" t="s">
        <v>21</v>
      </c>
      <c r="E730" t="s">
        <v>39</v>
      </c>
      <c r="F730">
        <v>2459.33</v>
      </c>
      <c r="G730">
        <v>10</v>
      </c>
      <c r="H730">
        <v>0.15</v>
      </c>
      <c r="I730">
        <v>5</v>
      </c>
    </row>
    <row r="731" spans="1:9" x14ac:dyDescent="0.2">
      <c r="A731" t="s">
        <v>771</v>
      </c>
      <c r="B731" s="1">
        <v>45798</v>
      </c>
      <c r="C731" t="s">
        <v>78</v>
      </c>
      <c r="D731" t="s">
        <v>11</v>
      </c>
      <c r="E731" t="s">
        <v>30</v>
      </c>
      <c r="F731">
        <v>1241.9000000000001</v>
      </c>
      <c r="G731">
        <v>10</v>
      </c>
      <c r="H731">
        <v>0</v>
      </c>
      <c r="I731">
        <v>4</v>
      </c>
    </row>
    <row r="732" spans="1:9" x14ac:dyDescent="0.2">
      <c r="A732" t="s">
        <v>772</v>
      </c>
      <c r="B732" s="1">
        <v>45660</v>
      </c>
      <c r="C732" t="s">
        <v>34</v>
      </c>
      <c r="D732" t="s">
        <v>11</v>
      </c>
      <c r="E732" t="s">
        <v>39</v>
      </c>
      <c r="F732">
        <v>1031.24</v>
      </c>
      <c r="G732">
        <v>2</v>
      </c>
      <c r="H732">
        <v>0</v>
      </c>
      <c r="I732">
        <v>5</v>
      </c>
    </row>
    <row r="733" spans="1:9" x14ac:dyDescent="0.2">
      <c r="A733" t="s">
        <v>773</v>
      </c>
      <c r="B733" s="1">
        <v>45801</v>
      </c>
      <c r="C733" t="s">
        <v>24</v>
      </c>
      <c r="D733" t="s">
        <v>15</v>
      </c>
      <c r="E733" t="s">
        <v>22</v>
      </c>
      <c r="F733">
        <v>296.57</v>
      </c>
      <c r="G733">
        <v>5</v>
      </c>
      <c r="H733">
        <v>0</v>
      </c>
      <c r="I733">
        <v>2</v>
      </c>
    </row>
    <row r="734" spans="1:9" x14ac:dyDescent="0.2">
      <c r="A734" t="s">
        <v>774</v>
      </c>
      <c r="B734" s="1">
        <v>45696</v>
      </c>
      <c r="C734" t="s">
        <v>14</v>
      </c>
      <c r="D734" t="s">
        <v>15</v>
      </c>
      <c r="E734" t="s">
        <v>30</v>
      </c>
      <c r="F734">
        <v>424</v>
      </c>
      <c r="G734">
        <v>10</v>
      </c>
      <c r="H734">
        <v>0.15</v>
      </c>
      <c r="I734">
        <v>2</v>
      </c>
    </row>
    <row r="735" spans="1:9" x14ac:dyDescent="0.2">
      <c r="A735" t="s">
        <v>775</v>
      </c>
      <c r="B735" s="1">
        <v>45698</v>
      </c>
      <c r="C735" t="s">
        <v>32</v>
      </c>
      <c r="D735" t="s">
        <v>21</v>
      </c>
      <c r="E735" t="s">
        <v>30</v>
      </c>
      <c r="F735">
        <v>2179.37</v>
      </c>
      <c r="G735">
        <v>5</v>
      </c>
      <c r="H735">
        <v>0.15</v>
      </c>
      <c r="I735">
        <v>4</v>
      </c>
    </row>
    <row r="736" spans="1:9" x14ac:dyDescent="0.2">
      <c r="A736" t="s">
        <v>776</v>
      </c>
      <c r="B736" s="1">
        <v>45984</v>
      </c>
      <c r="C736" t="s">
        <v>78</v>
      </c>
      <c r="D736" t="s">
        <v>11</v>
      </c>
      <c r="E736" t="s">
        <v>47</v>
      </c>
      <c r="F736">
        <v>978.42</v>
      </c>
      <c r="G736">
        <v>10</v>
      </c>
      <c r="H736">
        <v>0.2</v>
      </c>
      <c r="I736">
        <v>5</v>
      </c>
    </row>
    <row r="737" spans="1:9" x14ac:dyDescent="0.2">
      <c r="A737" t="s">
        <v>777</v>
      </c>
      <c r="B737" s="1">
        <v>45846</v>
      </c>
      <c r="C737" t="s">
        <v>14</v>
      </c>
      <c r="D737" t="s">
        <v>15</v>
      </c>
      <c r="E737" t="s">
        <v>56</v>
      </c>
      <c r="F737">
        <v>457.07</v>
      </c>
      <c r="G737">
        <v>2</v>
      </c>
      <c r="H737">
        <v>0</v>
      </c>
      <c r="I737">
        <v>4</v>
      </c>
    </row>
    <row r="738" spans="1:9" x14ac:dyDescent="0.2">
      <c r="A738" t="s">
        <v>778</v>
      </c>
      <c r="B738" s="1">
        <v>45728</v>
      </c>
      <c r="C738" t="s">
        <v>24</v>
      </c>
      <c r="D738" t="s">
        <v>15</v>
      </c>
      <c r="E738" t="s">
        <v>30</v>
      </c>
      <c r="F738">
        <v>334.2</v>
      </c>
      <c r="G738">
        <v>10</v>
      </c>
      <c r="H738">
        <v>0</v>
      </c>
      <c r="I738">
        <v>1</v>
      </c>
    </row>
    <row r="739" spans="1:9" x14ac:dyDescent="0.2">
      <c r="A739" t="s">
        <v>779</v>
      </c>
      <c r="B739" s="1">
        <v>45872</v>
      </c>
      <c r="C739" t="s">
        <v>14</v>
      </c>
      <c r="D739" t="s">
        <v>15</v>
      </c>
      <c r="E739" t="s">
        <v>18</v>
      </c>
      <c r="F739">
        <v>350.37</v>
      </c>
      <c r="G739">
        <v>1</v>
      </c>
      <c r="H739">
        <v>0.1</v>
      </c>
      <c r="I739">
        <v>4</v>
      </c>
    </row>
    <row r="740" spans="1:9" x14ac:dyDescent="0.2">
      <c r="A740" t="s">
        <v>780</v>
      </c>
      <c r="B740" s="1">
        <v>45932</v>
      </c>
      <c r="C740" t="s">
        <v>54</v>
      </c>
      <c r="D740" t="s">
        <v>15</v>
      </c>
      <c r="E740" t="s">
        <v>39</v>
      </c>
      <c r="F740">
        <v>313.72000000000003</v>
      </c>
      <c r="G740">
        <v>3</v>
      </c>
      <c r="H740">
        <v>0</v>
      </c>
      <c r="I740">
        <v>2</v>
      </c>
    </row>
    <row r="741" spans="1:9" x14ac:dyDescent="0.2">
      <c r="A741" t="s">
        <v>781</v>
      </c>
      <c r="B741" s="1">
        <v>45877</v>
      </c>
      <c r="C741" t="s">
        <v>24</v>
      </c>
      <c r="D741" t="s">
        <v>15</v>
      </c>
      <c r="E741" t="s">
        <v>47</v>
      </c>
      <c r="F741">
        <v>241.45</v>
      </c>
      <c r="G741">
        <v>-1</v>
      </c>
      <c r="H741">
        <v>0</v>
      </c>
    </row>
    <row r="742" spans="1:9" x14ac:dyDescent="0.2">
      <c r="A742" t="s">
        <v>782</v>
      </c>
      <c r="B742" s="1">
        <v>45958</v>
      </c>
      <c r="C742" t="s">
        <v>50</v>
      </c>
      <c r="D742" t="s">
        <v>11</v>
      </c>
      <c r="E742" t="s">
        <v>39</v>
      </c>
      <c r="F742">
        <v>1020.36</v>
      </c>
      <c r="G742">
        <v>2</v>
      </c>
      <c r="H742">
        <v>0</v>
      </c>
      <c r="I742">
        <v>1</v>
      </c>
    </row>
    <row r="743" spans="1:9" x14ac:dyDescent="0.2">
      <c r="A743" t="s">
        <v>783</v>
      </c>
      <c r="B743" s="1">
        <v>45893</v>
      </c>
      <c r="C743" t="s">
        <v>41</v>
      </c>
      <c r="D743" t="s">
        <v>11</v>
      </c>
      <c r="E743" t="s">
        <v>18</v>
      </c>
      <c r="F743">
        <v>892.9</v>
      </c>
      <c r="G743">
        <v>2</v>
      </c>
      <c r="H743">
        <v>0</v>
      </c>
      <c r="I743">
        <v>5</v>
      </c>
    </row>
    <row r="744" spans="1:9" x14ac:dyDescent="0.2">
      <c r="A744" t="s">
        <v>784</v>
      </c>
      <c r="B744" s="1">
        <v>45763</v>
      </c>
      <c r="C744" t="s">
        <v>37</v>
      </c>
      <c r="D744" t="s">
        <v>11</v>
      </c>
      <c r="E744" t="s">
        <v>18</v>
      </c>
      <c r="F744">
        <v>899.73</v>
      </c>
      <c r="G744">
        <v>2</v>
      </c>
      <c r="H744">
        <v>0.1</v>
      </c>
    </row>
    <row r="745" spans="1:9" x14ac:dyDescent="0.2">
      <c r="A745" t="s">
        <v>785</v>
      </c>
      <c r="B745" s="1">
        <v>45981</v>
      </c>
      <c r="C745" t="s">
        <v>14</v>
      </c>
      <c r="D745" t="s">
        <v>15</v>
      </c>
      <c r="E745" t="s">
        <v>22</v>
      </c>
      <c r="F745">
        <v>339.38</v>
      </c>
      <c r="G745">
        <v>2</v>
      </c>
      <c r="H745">
        <v>0</v>
      </c>
      <c r="I745">
        <v>1</v>
      </c>
    </row>
    <row r="746" spans="1:9" x14ac:dyDescent="0.2">
      <c r="A746" t="s">
        <v>786</v>
      </c>
      <c r="B746" s="1">
        <v>45784</v>
      </c>
      <c r="C746" t="s">
        <v>10</v>
      </c>
      <c r="D746" t="s">
        <v>11</v>
      </c>
      <c r="E746" t="s">
        <v>56</v>
      </c>
      <c r="F746">
        <v>863.56</v>
      </c>
      <c r="G746">
        <v>2</v>
      </c>
      <c r="H746">
        <v>0</v>
      </c>
      <c r="I746">
        <v>3</v>
      </c>
    </row>
    <row r="747" spans="1:9" x14ac:dyDescent="0.2">
      <c r="A747" t="s">
        <v>787</v>
      </c>
      <c r="B747" s="1">
        <v>45793</v>
      </c>
      <c r="C747" t="s">
        <v>17</v>
      </c>
      <c r="D747" t="s">
        <v>11</v>
      </c>
      <c r="E747" t="s">
        <v>30</v>
      </c>
      <c r="F747">
        <v>946.15</v>
      </c>
      <c r="G747">
        <v>5</v>
      </c>
      <c r="H747">
        <v>0</v>
      </c>
    </row>
    <row r="748" spans="1:9" x14ac:dyDescent="0.2">
      <c r="A748" t="s">
        <v>788</v>
      </c>
      <c r="B748" s="1">
        <v>45743</v>
      </c>
      <c r="C748" t="s">
        <v>32</v>
      </c>
      <c r="D748" t="s">
        <v>21</v>
      </c>
      <c r="E748" t="s">
        <v>56</v>
      </c>
      <c r="F748">
        <v>1980.33</v>
      </c>
      <c r="G748">
        <v>5</v>
      </c>
      <c r="H748">
        <v>0</v>
      </c>
      <c r="I748">
        <v>5</v>
      </c>
    </row>
    <row r="749" spans="1:9" x14ac:dyDescent="0.2">
      <c r="A749" t="s">
        <v>789</v>
      </c>
      <c r="B749" s="1">
        <v>45729</v>
      </c>
      <c r="C749" t="s">
        <v>32</v>
      </c>
      <c r="D749" t="s">
        <v>21</v>
      </c>
      <c r="E749" t="s">
        <v>18</v>
      </c>
      <c r="F749">
        <v>1291.57</v>
      </c>
      <c r="G749">
        <v>2</v>
      </c>
      <c r="H749">
        <v>0.2</v>
      </c>
    </row>
    <row r="750" spans="1:9" x14ac:dyDescent="0.2">
      <c r="A750" t="s">
        <v>790</v>
      </c>
      <c r="B750" s="1">
        <v>45745</v>
      </c>
      <c r="C750" t="s">
        <v>17</v>
      </c>
      <c r="D750" t="s">
        <v>11</v>
      </c>
      <c r="E750" t="s">
        <v>18</v>
      </c>
      <c r="F750">
        <v>875.6</v>
      </c>
      <c r="G750">
        <v>1</v>
      </c>
      <c r="H750">
        <v>0</v>
      </c>
      <c r="I750">
        <v>2</v>
      </c>
    </row>
    <row r="751" spans="1:9" x14ac:dyDescent="0.2">
      <c r="A751" t="s">
        <v>791</v>
      </c>
      <c r="B751" s="1">
        <v>45897</v>
      </c>
      <c r="C751" t="s">
        <v>10</v>
      </c>
      <c r="D751" t="s">
        <v>11</v>
      </c>
      <c r="E751" t="s">
        <v>56</v>
      </c>
      <c r="F751">
        <v>1219.6500000000001</v>
      </c>
      <c r="G751">
        <v>1</v>
      </c>
      <c r="H751">
        <v>0</v>
      </c>
      <c r="I751">
        <v>4</v>
      </c>
    </row>
    <row r="752" spans="1:9" x14ac:dyDescent="0.2">
      <c r="A752" t="s">
        <v>674</v>
      </c>
      <c r="B752" s="1">
        <v>45998</v>
      </c>
      <c r="C752" t="s">
        <v>54</v>
      </c>
      <c r="D752" t="s">
        <v>15</v>
      </c>
      <c r="E752" t="s">
        <v>18</v>
      </c>
      <c r="F752">
        <v>316.10000000000002</v>
      </c>
      <c r="G752">
        <v>5</v>
      </c>
      <c r="H752">
        <v>0.2</v>
      </c>
      <c r="I752">
        <v>1</v>
      </c>
    </row>
    <row r="753" spans="1:9" x14ac:dyDescent="0.2">
      <c r="A753" t="s">
        <v>792</v>
      </c>
      <c r="B753" s="1">
        <v>45937</v>
      </c>
      <c r="C753" t="s">
        <v>32</v>
      </c>
      <c r="D753" t="s">
        <v>21</v>
      </c>
      <c r="E753" t="s">
        <v>30</v>
      </c>
      <c r="F753">
        <v>1456.01</v>
      </c>
      <c r="G753">
        <v>10</v>
      </c>
      <c r="H753">
        <v>0</v>
      </c>
    </row>
    <row r="754" spans="1:9" x14ac:dyDescent="0.2">
      <c r="A754" t="s">
        <v>793</v>
      </c>
      <c r="B754" s="1">
        <v>46007</v>
      </c>
      <c r="C754" t="s">
        <v>37</v>
      </c>
      <c r="D754" t="s">
        <v>11</v>
      </c>
      <c r="E754" t="s">
        <v>12</v>
      </c>
      <c r="F754">
        <v>1195.56</v>
      </c>
      <c r="G754">
        <v>3</v>
      </c>
      <c r="H754">
        <v>0.2</v>
      </c>
      <c r="I754">
        <v>5</v>
      </c>
    </row>
    <row r="755" spans="1:9" x14ac:dyDescent="0.2">
      <c r="A755" t="s">
        <v>794</v>
      </c>
      <c r="B755" s="1">
        <v>45913</v>
      </c>
      <c r="C755" t="s">
        <v>78</v>
      </c>
      <c r="D755" t="s">
        <v>11</v>
      </c>
      <c r="E755" t="s">
        <v>18</v>
      </c>
      <c r="F755">
        <v>1068.75</v>
      </c>
      <c r="G755">
        <v>5</v>
      </c>
      <c r="H755">
        <v>0.15</v>
      </c>
      <c r="I755">
        <v>5</v>
      </c>
    </row>
    <row r="756" spans="1:9" x14ac:dyDescent="0.2">
      <c r="A756" t="s">
        <v>795</v>
      </c>
      <c r="B756" s="1">
        <v>45975</v>
      </c>
      <c r="C756" t="s">
        <v>14</v>
      </c>
      <c r="D756" t="s">
        <v>15</v>
      </c>
      <c r="E756" t="s">
        <v>56</v>
      </c>
      <c r="F756">
        <v>316.95999999999998</v>
      </c>
      <c r="G756">
        <v>3</v>
      </c>
      <c r="H756">
        <v>0.15</v>
      </c>
      <c r="I756">
        <v>4</v>
      </c>
    </row>
    <row r="757" spans="1:9" x14ac:dyDescent="0.2">
      <c r="A757" t="s">
        <v>796</v>
      </c>
      <c r="B757" s="1">
        <v>45812</v>
      </c>
      <c r="C757" t="s">
        <v>50</v>
      </c>
      <c r="D757" t="s">
        <v>11</v>
      </c>
      <c r="E757" t="s">
        <v>47</v>
      </c>
      <c r="F757">
        <v>1031.51</v>
      </c>
      <c r="G757">
        <v>5</v>
      </c>
      <c r="H757">
        <v>0.15</v>
      </c>
      <c r="I757">
        <v>1</v>
      </c>
    </row>
    <row r="758" spans="1:9" x14ac:dyDescent="0.2">
      <c r="A758" t="s">
        <v>797</v>
      </c>
      <c r="B758" s="1">
        <v>45664</v>
      </c>
      <c r="C758" t="s">
        <v>37</v>
      </c>
      <c r="D758" t="s">
        <v>11</v>
      </c>
      <c r="E758" t="s">
        <v>12</v>
      </c>
      <c r="F758">
        <v>1283.1500000000001</v>
      </c>
      <c r="G758">
        <v>2</v>
      </c>
      <c r="H758">
        <v>0.1</v>
      </c>
      <c r="I758">
        <v>5</v>
      </c>
    </row>
    <row r="759" spans="1:9" x14ac:dyDescent="0.2">
      <c r="A759" t="s">
        <v>798</v>
      </c>
      <c r="B759" s="1">
        <v>45971</v>
      </c>
      <c r="C759" t="s">
        <v>10</v>
      </c>
      <c r="D759" t="s">
        <v>11</v>
      </c>
      <c r="E759" t="s">
        <v>18</v>
      </c>
      <c r="F759">
        <v>1452.76</v>
      </c>
      <c r="G759">
        <v>1</v>
      </c>
      <c r="H759">
        <v>0.2</v>
      </c>
      <c r="I759">
        <v>3</v>
      </c>
    </row>
    <row r="760" spans="1:9" x14ac:dyDescent="0.2">
      <c r="A760" t="s">
        <v>799</v>
      </c>
      <c r="B760" s="1">
        <v>45672</v>
      </c>
      <c r="C760" t="s">
        <v>24</v>
      </c>
      <c r="D760" t="s">
        <v>15</v>
      </c>
      <c r="F760">
        <v>328.28</v>
      </c>
      <c r="G760">
        <v>3</v>
      </c>
      <c r="H760">
        <v>0</v>
      </c>
      <c r="I760">
        <v>5</v>
      </c>
    </row>
    <row r="761" spans="1:9" x14ac:dyDescent="0.2">
      <c r="A761" t="s">
        <v>800</v>
      </c>
      <c r="B761" s="1">
        <v>45851</v>
      </c>
      <c r="C761" t="s">
        <v>14</v>
      </c>
      <c r="D761" t="s">
        <v>15</v>
      </c>
      <c r="E761" t="s">
        <v>12</v>
      </c>
      <c r="F761">
        <v>314.02999999999997</v>
      </c>
      <c r="G761">
        <v>5</v>
      </c>
      <c r="H761">
        <v>0</v>
      </c>
    </row>
    <row r="762" spans="1:9" x14ac:dyDescent="0.2">
      <c r="A762" t="s">
        <v>801</v>
      </c>
      <c r="B762" s="1">
        <v>45824</v>
      </c>
      <c r="C762" t="s">
        <v>43</v>
      </c>
      <c r="D762" t="s">
        <v>15</v>
      </c>
      <c r="E762" t="s">
        <v>39</v>
      </c>
      <c r="F762">
        <v>299.2</v>
      </c>
      <c r="G762">
        <v>2</v>
      </c>
      <c r="H762">
        <v>0</v>
      </c>
      <c r="I762">
        <v>4</v>
      </c>
    </row>
    <row r="763" spans="1:9" x14ac:dyDescent="0.2">
      <c r="A763" t="s">
        <v>802</v>
      </c>
      <c r="B763" s="1">
        <v>45760</v>
      </c>
      <c r="C763" t="s">
        <v>50</v>
      </c>
      <c r="D763" t="s">
        <v>11</v>
      </c>
      <c r="E763" t="s">
        <v>39</v>
      </c>
      <c r="F763">
        <v>1040.97</v>
      </c>
      <c r="G763">
        <v>10</v>
      </c>
      <c r="H763">
        <v>0</v>
      </c>
      <c r="I763">
        <v>3</v>
      </c>
    </row>
    <row r="764" spans="1:9" x14ac:dyDescent="0.2">
      <c r="A764" t="s">
        <v>803</v>
      </c>
      <c r="B764" s="1">
        <v>45816</v>
      </c>
      <c r="C764" t="s">
        <v>54</v>
      </c>
      <c r="D764" t="s">
        <v>15</v>
      </c>
      <c r="E764" t="s">
        <v>12</v>
      </c>
      <c r="G764">
        <v>3</v>
      </c>
      <c r="H764">
        <v>0</v>
      </c>
      <c r="I764">
        <v>5</v>
      </c>
    </row>
    <row r="765" spans="1:9" x14ac:dyDescent="0.2">
      <c r="A765" t="s">
        <v>804</v>
      </c>
      <c r="B765" s="1">
        <v>45906</v>
      </c>
      <c r="C765" t="s">
        <v>50</v>
      </c>
      <c r="D765" t="s">
        <v>11</v>
      </c>
      <c r="E765" t="s">
        <v>12</v>
      </c>
      <c r="F765">
        <v>1744.97</v>
      </c>
      <c r="G765">
        <v>3</v>
      </c>
      <c r="H765">
        <v>0.2</v>
      </c>
      <c r="I765">
        <v>1</v>
      </c>
    </row>
    <row r="766" spans="1:9" x14ac:dyDescent="0.2">
      <c r="A766" t="s">
        <v>805</v>
      </c>
      <c r="B766" s="1">
        <v>45780</v>
      </c>
      <c r="C766" t="s">
        <v>10</v>
      </c>
      <c r="D766" t="s">
        <v>11</v>
      </c>
      <c r="E766" t="s">
        <v>12</v>
      </c>
      <c r="F766">
        <v>1299.22</v>
      </c>
      <c r="G766">
        <v>10</v>
      </c>
      <c r="H766">
        <v>0.1</v>
      </c>
      <c r="I766">
        <v>2</v>
      </c>
    </row>
    <row r="767" spans="1:9" x14ac:dyDescent="0.2">
      <c r="A767" t="s">
        <v>204</v>
      </c>
      <c r="B767" s="1">
        <v>45967</v>
      </c>
      <c r="C767" t="s">
        <v>50</v>
      </c>
      <c r="D767" t="s">
        <v>11</v>
      </c>
      <c r="E767" t="s">
        <v>56</v>
      </c>
      <c r="F767">
        <v>1148.77</v>
      </c>
      <c r="G767">
        <v>1</v>
      </c>
      <c r="H767">
        <v>0.2</v>
      </c>
      <c r="I767">
        <v>5</v>
      </c>
    </row>
    <row r="768" spans="1:9" x14ac:dyDescent="0.2">
      <c r="A768" t="s">
        <v>806</v>
      </c>
      <c r="B768" s="1">
        <v>46008</v>
      </c>
      <c r="C768" t="s">
        <v>14</v>
      </c>
      <c r="D768" t="s">
        <v>15</v>
      </c>
      <c r="E768" t="s">
        <v>30</v>
      </c>
      <c r="F768">
        <v>500.72</v>
      </c>
      <c r="G768">
        <v>5</v>
      </c>
      <c r="H768">
        <v>0</v>
      </c>
      <c r="I768">
        <v>5</v>
      </c>
    </row>
    <row r="769" spans="1:9" x14ac:dyDescent="0.2">
      <c r="A769" t="s">
        <v>807</v>
      </c>
      <c r="B769" s="1">
        <v>45745</v>
      </c>
      <c r="C769" t="s">
        <v>50</v>
      </c>
      <c r="D769" t="s">
        <v>11</v>
      </c>
      <c r="E769" t="s">
        <v>22</v>
      </c>
      <c r="F769">
        <v>817.34</v>
      </c>
      <c r="G769">
        <v>5</v>
      </c>
      <c r="H769">
        <v>0</v>
      </c>
      <c r="I769">
        <v>4</v>
      </c>
    </row>
    <row r="770" spans="1:9" x14ac:dyDescent="0.2">
      <c r="A770" t="s">
        <v>808</v>
      </c>
      <c r="B770" s="1">
        <v>45793</v>
      </c>
      <c r="C770" t="s">
        <v>26</v>
      </c>
      <c r="D770" t="s">
        <v>27</v>
      </c>
      <c r="E770" t="s">
        <v>39</v>
      </c>
      <c r="F770">
        <v>413.2</v>
      </c>
      <c r="G770">
        <v>1</v>
      </c>
      <c r="H770">
        <v>0.2</v>
      </c>
    </row>
    <row r="771" spans="1:9" x14ac:dyDescent="0.2">
      <c r="A771" t="s">
        <v>809</v>
      </c>
      <c r="B771" s="1">
        <v>45994</v>
      </c>
      <c r="C771" t="s">
        <v>20</v>
      </c>
      <c r="D771" t="s">
        <v>21</v>
      </c>
      <c r="E771" t="s">
        <v>30</v>
      </c>
      <c r="F771">
        <v>1545.24</v>
      </c>
      <c r="G771">
        <v>10</v>
      </c>
      <c r="H771">
        <v>0</v>
      </c>
      <c r="I771">
        <v>2</v>
      </c>
    </row>
    <row r="772" spans="1:9" x14ac:dyDescent="0.2">
      <c r="A772" t="s">
        <v>810</v>
      </c>
      <c r="B772" s="1">
        <v>45715</v>
      </c>
      <c r="C772" t="s">
        <v>17</v>
      </c>
      <c r="D772" t="s">
        <v>11</v>
      </c>
      <c r="E772" t="s">
        <v>56</v>
      </c>
      <c r="F772">
        <v>1191.4000000000001</v>
      </c>
      <c r="G772">
        <v>1</v>
      </c>
      <c r="H772">
        <v>0.2</v>
      </c>
      <c r="I772">
        <v>3</v>
      </c>
    </row>
    <row r="773" spans="1:9" x14ac:dyDescent="0.2">
      <c r="A773" t="s">
        <v>811</v>
      </c>
      <c r="B773" s="1">
        <v>45993</v>
      </c>
      <c r="C773" t="s">
        <v>54</v>
      </c>
      <c r="D773" t="s">
        <v>15</v>
      </c>
      <c r="E773" t="s">
        <v>12</v>
      </c>
      <c r="F773">
        <v>376.97</v>
      </c>
      <c r="G773">
        <v>1</v>
      </c>
      <c r="H773">
        <v>0</v>
      </c>
      <c r="I773">
        <v>5</v>
      </c>
    </row>
    <row r="774" spans="1:9" x14ac:dyDescent="0.2">
      <c r="A774" t="s">
        <v>812</v>
      </c>
      <c r="B774" s="1">
        <v>45869</v>
      </c>
      <c r="C774" t="s">
        <v>10</v>
      </c>
      <c r="D774" t="s">
        <v>11</v>
      </c>
      <c r="E774" t="s">
        <v>56</v>
      </c>
      <c r="F774">
        <v>1248.83</v>
      </c>
      <c r="G774">
        <v>1</v>
      </c>
      <c r="H774">
        <v>0.2</v>
      </c>
      <c r="I774">
        <v>4</v>
      </c>
    </row>
    <row r="775" spans="1:9" x14ac:dyDescent="0.2">
      <c r="A775" t="s">
        <v>813</v>
      </c>
      <c r="B775" s="1">
        <v>45824</v>
      </c>
      <c r="C775" t="s">
        <v>14</v>
      </c>
      <c r="D775" t="s">
        <v>15</v>
      </c>
      <c r="E775" t="s">
        <v>12</v>
      </c>
      <c r="F775">
        <v>327.45999999999998</v>
      </c>
      <c r="G775">
        <v>1</v>
      </c>
      <c r="H775">
        <v>0.1</v>
      </c>
      <c r="I775">
        <v>4</v>
      </c>
    </row>
    <row r="776" spans="1:9" x14ac:dyDescent="0.2">
      <c r="A776" t="s">
        <v>814</v>
      </c>
      <c r="B776" s="1">
        <v>45662</v>
      </c>
      <c r="C776" t="s">
        <v>34</v>
      </c>
      <c r="D776" t="s">
        <v>11</v>
      </c>
      <c r="E776" t="s">
        <v>39</v>
      </c>
      <c r="F776">
        <v>1565.55</v>
      </c>
      <c r="G776">
        <v>1</v>
      </c>
      <c r="H776">
        <v>0</v>
      </c>
      <c r="I776">
        <v>5</v>
      </c>
    </row>
    <row r="777" spans="1:9" x14ac:dyDescent="0.2">
      <c r="A777" t="s">
        <v>815</v>
      </c>
      <c r="B777" s="1">
        <v>45788</v>
      </c>
      <c r="C777" t="s">
        <v>54</v>
      </c>
      <c r="D777" t="s">
        <v>15</v>
      </c>
      <c r="E777" t="s">
        <v>39</v>
      </c>
      <c r="F777">
        <v>394.27</v>
      </c>
      <c r="G777">
        <v>1</v>
      </c>
      <c r="H777">
        <v>0.15</v>
      </c>
      <c r="I777">
        <v>1</v>
      </c>
    </row>
    <row r="778" spans="1:9" x14ac:dyDescent="0.2">
      <c r="A778" t="s">
        <v>816</v>
      </c>
      <c r="B778" s="1">
        <v>45908</v>
      </c>
      <c r="C778" t="s">
        <v>78</v>
      </c>
      <c r="D778" t="s">
        <v>11</v>
      </c>
      <c r="E778" t="s">
        <v>12</v>
      </c>
      <c r="F778">
        <v>1220.78</v>
      </c>
      <c r="G778">
        <v>3</v>
      </c>
      <c r="H778">
        <v>0.15</v>
      </c>
      <c r="I778">
        <v>5</v>
      </c>
    </row>
    <row r="779" spans="1:9" x14ac:dyDescent="0.2">
      <c r="A779" t="s">
        <v>817</v>
      </c>
      <c r="B779" s="1">
        <v>45821</v>
      </c>
      <c r="C779" t="s">
        <v>10</v>
      </c>
      <c r="D779" t="s">
        <v>11</v>
      </c>
      <c r="E779" t="s">
        <v>47</v>
      </c>
      <c r="F779">
        <v>1032.07</v>
      </c>
      <c r="G779">
        <v>5</v>
      </c>
      <c r="H779">
        <v>0.1</v>
      </c>
      <c r="I779">
        <v>3</v>
      </c>
    </row>
    <row r="780" spans="1:9" x14ac:dyDescent="0.2">
      <c r="A780" t="s">
        <v>818</v>
      </c>
      <c r="B780" s="1">
        <v>45686</v>
      </c>
      <c r="C780" t="s">
        <v>24</v>
      </c>
      <c r="D780" t="s">
        <v>15</v>
      </c>
      <c r="E780" t="s">
        <v>12</v>
      </c>
      <c r="F780">
        <v>389.25</v>
      </c>
      <c r="G780">
        <v>2</v>
      </c>
      <c r="H780">
        <v>0</v>
      </c>
      <c r="I780">
        <v>5</v>
      </c>
    </row>
    <row r="781" spans="1:9" x14ac:dyDescent="0.2">
      <c r="A781" t="s">
        <v>819</v>
      </c>
      <c r="B781" s="1">
        <v>45848</v>
      </c>
      <c r="C781" t="s">
        <v>78</v>
      </c>
      <c r="D781" t="s">
        <v>11</v>
      </c>
      <c r="E781" t="s">
        <v>22</v>
      </c>
      <c r="G781">
        <v>1</v>
      </c>
      <c r="H781">
        <v>0.2</v>
      </c>
    </row>
    <row r="782" spans="1:9" x14ac:dyDescent="0.2">
      <c r="A782" t="s">
        <v>820</v>
      </c>
      <c r="B782" s="1">
        <v>45679</v>
      </c>
      <c r="C782" t="s">
        <v>10</v>
      </c>
      <c r="D782" t="s">
        <v>11</v>
      </c>
      <c r="E782" t="s">
        <v>39</v>
      </c>
      <c r="F782">
        <v>1150.05</v>
      </c>
      <c r="G782">
        <v>10</v>
      </c>
      <c r="H782">
        <v>0.15</v>
      </c>
      <c r="I782">
        <v>4</v>
      </c>
    </row>
    <row r="783" spans="1:9" x14ac:dyDescent="0.2">
      <c r="A783" t="s">
        <v>821</v>
      </c>
      <c r="B783" s="1">
        <v>45936</v>
      </c>
      <c r="C783" t="s">
        <v>17</v>
      </c>
      <c r="D783" t="s">
        <v>11</v>
      </c>
      <c r="E783" t="s">
        <v>12</v>
      </c>
      <c r="F783">
        <v>836.44</v>
      </c>
      <c r="G783">
        <v>5</v>
      </c>
      <c r="H783">
        <v>0.1</v>
      </c>
      <c r="I783">
        <v>5</v>
      </c>
    </row>
    <row r="784" spans="1:9" x14ac:dyDescent="0.2">
      <c r="A784" t="s">
        <v>822</v>
      </c>
      <c r="B784" s="1">
        <v>45660</v>
      </c>
      <c r="C784" t="s">
        <v>14</v>
      </c>
      <c r="D784" t="s">
        <v>15</v>
      </c>
      <c r="E784" t="s">
        <v>22</v>
      </c>
      <c r="F784">
        <v>343.28</v>
      </c>
      <c r="G784">
        <v>1</v>
      </c>
      <c r="H784">
        <v>0.15</v>
      </c>
      <c r="I784">
        <v>4</v>
      </c>
    </row>
    <row r="785" spans="1:9" x14ac:dyDescent="0.2">
      <c r="A785" t="s">
        <v>823</v>
      </c>
      <c r="B785" s="1">
        <v>45957</v>
      </c>
      <c r="C785" t="s">
        <v>54</v>
      </c>
      <c r="D785" t="s">
        <v>15</v>
      </c>
      <c r="E785" t="s">
        <v>12</v>
      </c>
      <c r="F785">
        <v>354.22</v>
      </c>
      <c r="G785">
        <v>1</v>
      </c>
      <c r="H785">
        <v>0.15</v>
      </c>
      <c r="I785">
        <v>5</v>
      </c>
    </row>
    <row r="786" spans="1:9" x14ac:dyDescent="0.2">
      <c r="A786" t="s">
        <v>824</v>
      </c>
      <c r="B786" s="1">
        <v>45797</v>
      </c>
      <c r="C786" t="s">
        <v>17</v>
      </c>
      <c r="D786" t="s">
        <v>11</v>
      </c>
      <c r="E786" t="s">
        <v>39</v>
      </c>
      <c r="F786">
        <v>1315.79</v>
      </c>
      <c r="G786">
        <v>5</v>
      </c>
      <c r="H786">
        <v>0.1</v>
      </c>
      <c r="I786">
        <v>5</v>
      </c>
    </row>
    <row r="787" spans="1:9" x14ac:dyDescent="0.2">
      <c r="A787" t="s">
        <v>825</v>
      </c>
      <c r="B787" s="1">
        <v>45752</v>
      </c>
      <c r="C787" t="s">
        <v>14</v>
      </c>
      <c r="D787" t="s">
        <v>15</v>
      </c>
      <c r="E787" t="s">
        <v>18</v>
      </c>
      <c r="F787">
        <v>302.39999999999998</v>
      </c>
      <c r="G787">
        <v>1</v>
      </c>
      <c r="H787">
        <v>0</v>
      </c>
      <c r="I787">
        <v>5</v>
      </c>
    </row>
    <row r="788" spans="1:9" x14ac:dyDescent="0.2">
      <c r="A788" t="s">
        <v>826</v>
      </c>
      <c r="B788" s="1">
        <v>45731</v>
      </c>
      <c r="C788" t="s">
        <v>50</v>
      </c>
      <c r="D788" t="s">
        <v>11</v>
      </c>
      <c r="E788" t="s">
        <v>30</v>
      </c>
      <c r="F788">
        <v>908.59</v>
      </c>
      <c r="G788">
        <v>2</v>
      </c>
      <c r="H788">
        <v>0.1</v>
      </c>
      <c r="I788">
        <v>1</v>
      </c>
    </row>
    <row r="789" spans="1:9" x14ac:dyDescent="0.2">
      <c r="A789" t="s">
        <v>212</v>
      </c>
      <c r="B789" s="1">
        <v>45815</v>
      </c>
      <c r="C789" t="s">
        <v>41</v>
      </c>
      <c r="D789" t="s">
        <v>11</v>
      </c>
      <c r="E789" t="s">
        <v>56</v>
      </c>
      <c r="F789">
        <v>861.97</v>
      </c>
      <c r="G789">
        <v>5</v>
      </c>
      <c r="H789">
        <v>0.1</v>
      </c>
      <c r="I789">
        <v>5</v>
      </c>
    </row>
    <row r="790" spans="1:9" x14ac:dyDescent="0.2">
      <c r="A790" t="s">
        <v>827</v>
      </c>
      <c r="B790" s="1">
        <v>45988</v>
      </c>
      <c r="C790" t="s">
        <v>78</v>
      </c>
      <c r="D790" t="s">
        <v>11</v>
      </c>
      <c r="E790" t="s">
        <v>39</v>
      </c>
      <c r="F790">
        <v>845.15</v>
      </c>
      <c r="G790">
        <v>1</v>
      </c>
      <c r="H790">
        <v>0</v>
      </c>
      <c r="I790">
        <v>5</v>
      </c>
    </row>
    <row r="791" spans="1:9" x14ac:dyDescent="0.2">
      <c r="A791" t="s">
        <v>828</v>
      </c>
      <c r="B791" s="1">
        <v>45860</v>
      </c>
      <c r="C791" t="s">
        <v>29</v>
      </c>
      <c r="D791" t="s">
        <v>15</v>
      </c>
      <c r="E791" t="s">
        <v>56</v>
      </c>
      <c r="F791">
        <v>258.69</v>
      </c>
      <c r="G791">
        <v>2</v>
      </c>
      <c r="H791">
        <v>0</v>
      </c>
      <c r="I791">
        <v>4</v>
      </c>
    </row>
    <row r="792" spans="1:9" x14ac:dyDescent="0.2">
      <c r="A792" t="s">
        <v>829</v>
      </c>
      <c r="B792" s="1">
        <v>45717</v>
      </c>
      <c r="C792" t="s">
        <v>54</v>
      </c>
      <c r="D792" t="s">
        <v>15</v>
      </c>
      <c r="E792" t="s">
        <v>39</v>
      </c>
      <c r="F792">
        <v>382.14</v>
      </c>
      <c r="G792">
        <v>1</v>
      </c>
      <c r="H792">
        <v>0</v>
      </c>
      <c r="I792">
        <v>1</v>
      </c>
    </row>
    <row r="793" spans="1:9" x14ac:dyDescent="0.2">
      <c r="A793" t="s">
        <v>830</v>
      </c>
      <c r="B793" s="1">
        <v>45710</v>
      </c>
      <c r="C793" t="s">
        <v>10</v>
      </c>
      <c r="D793" t="s">
        <v>11</v>
      </c>
      <c r="E793" t="s">
        <v>18</v>
      </c>
      <c r="F793" t="s">
        <v>831</v>
      </c>
      <c r="G793">
        <v>1</v>
      </c>
      <c r="H793">
        <v>0.1</v>
      </c>
      <c r="I793">
        <v>2</v>
      </c>
    </row>
    <row r="794" spans="1:9" x14ac:dyDescent="0.2">
      <c r="A794" t="s">
        <v>832</v>
      </c>
      <c r="B794" s="1">
        <v>45890</v>
      </c>
      <c r="C794" t="s">
        <v>54</v>
      </c>
      <c r="D794" t="s">
        <v>15</v>
      </c>
      <c r="E794" t="s">
        <v>18</v>
      </c>
      <c r="F794">
        <v>261.74</v>
      </c>
      <c r="G794">
        <v>5</v>
      </c>
      <c r="H794">
        <v>0.1</v>
      </c>
      <c r="I794">
        <v>2</v>
      </c>
    </row>
    <row r="795" spans="1:9" x14ac:dyDescent="0.2">
      <c r="A795" t="s">
        <v>833</v>
      </c>
      <c r="B795" s="1">
        <v>45999</v>
      </c>
      <c r="C795" t="s">
        <v>78</v>
      </c>
      <c r="D795" t="s">
        <v>11</v>
      </c>
      <c r="E795" t="s">
        <v>30</v>
      </c>
      <c r="F795">
        <v>1397.26</v>
      </c>
      <c r="G795">
        <v>1</v>
      </c>
      <c r="H795">
        <v>0</v>
      </c>
    </row>
    <row r="796" spans="1:9" x14ac:dyDescent="0.2">
      <c r="A796" t="s">
        <v>834</v>
      </c>
      <c r="B796" s="1">
        <v>45705</v>
      </c>
      <c r="C796" t="s">
        <v>24</v>
      </c>
      <c r="D796" t="s">
        <v>15</v>
      </c>
      <c r="E796" t="s">
        <v>47</v>
      </c>
      <c r="F796">
        <v>333.27</v>
      </c>
      <c r="G796">
        <v>3</v>
      </c>
      <c r="H796">
        <v>0.1</v>
      </c>
      <c r="I796">
        <v>1</v>
      </c>
    </row>
    <row r="797" spans="1:9" x14ac:dyDescent="0.2">
      <c r="A797" t="s">
        <v>835</v>
      </c>
      <c r="B797" s="1">
        <v>45831</v>
      </c>
      <c r="C797" t="s">
        <v>54</v>
      </c>
      <c r="D797" t="s">
        <v>15</v>
      </c>
      <c r="E797" t="s">
        <v>18</v>
      </c>
      <c r="F797">
        <v>384.43</v>
      </c>
      <c r="G797">
        <v>3</v>
      </c>
      <c r="H797">
        <v>0</v>
      </c>
      <c r="I797">
        <v>4</v>
      </c>
    </row>
    <row r="798" spans="1:9" x14ac:dyDescent="0.2">
      <c r="A798" t="s">
        <v>836</v>
      </c>
      <c r="B798" s="1">
        <v>45842</v>
      </c>
      <c r="C798" t="s">
        <v>43</v>
      </c>
      <c r="D798" t="s">
        <v>15</v>
      </c>
      <c r="E798" t="s">
        <v>39</v>
      </c>
      <c r="F798">
        <v>331.14</v>
      </c>
      <c r="G798">
        <v>2</v>
      </c>
      <c r="H798">
        <v>0</v>
      </c>
      <c r="I798">
        <v>2</v>
      </c>
    </row>
    <row r="799" spans="1:9" x14ac:dyDescent="0.2">
      <c r="A799" t="s">
        <v>837</v>
      </c>
      <c r="B799" s="1">
        <v>45982</v>
      </c>
      <c r="C799" t="s">
        <v>20</v>
      </c>
      <c r="D799" t="s">
        <v>21</v>
      </c>
      <c r="E799" t="s">
        <v>39</v>
      </c>
      <c r="F799">
        <v>1930.19</v>
      </c>
      <c r="G799">
        <v>2</v>
      </c>
      <c r="H799">
        <v>0.15</v>
      </c>
      <c r="I799">
        <v>5</v>
      </c>
    </row>
    <row r="800" spans="1:9" x14ac:dyDescent="0.2">
      <c r="A800" t="s">
        <v>838</v>
      </c>
      <c r="B800" s="1">
        <v>45934</v>
      </c>
      <c r="C800" t="s">
        <v>43</v>
      </c>
      <c r="D800" t="s">
        <v>15</v>
      </c>
      <c r="E800" t="s">
        <v>47</v>
      </c>
      <c r="F800">
        <v>482.78</v>
      </c>
      <c r="G800">
        <v>10</v>
      </c>
      <c r="H800">
        <v>0.1</v>
      </c>
      <c r="I800">
        <v>2</v>
      </c>
    </row>
    <row r="801" spans="1:9" x14ac:dyDescent="0.2">
      <c r="A801" t="s">
        <v>839</v>
      </c>
      <c r="B801" s="1">
        <v>45760</v>
      </c>
      <c r="C801" t="s">
        <v>32</v>
      </c>
      <c r="D801" t="s">
        <v>21</v>
      </c>
      <c r="E801" t="s">
        <v>30</v>
      </c>
      <c r="F801">
        <v>1870.5</v>
      </c>
      <c r="G801">
        <v>1</v>
      </c>
      <c r="H801">
        <v>0</v>
      </c>
      <c r="I801">
        <v>1</v>
      </c>
    </row>
    <row r="802" spans="1:9" x14ac:dyDescent="0.2">
      <c r="A802" t="s">
        <v>840</v>
      </c>
      <c r="B802" s="1">
        <v>45780</v>
      </c>
      <c r="C802" t="s">
        <v>24</v>
      </c>
      <c r="D802" t="s">
        <v>15</v>
      </c>
      <c r="E802" t="s">
        <v>56</v>
      </c>
      <c r="F802" t="s">
        <v>841</v>
      </c>
      <c r="G802">
        <v>2</v>
      </c>
      <c r="H802">
        <v>0</v>
      </c>
      <c r="I802">
        <v>3</v>
      </c>
    </row>
    <row r="803" spans="1:9" x14ac:dyDescent="0.2">
      <c r="A803" t="s">
        <v>842</v>
      </c>
      <c r="B803" s="1">
        <v>45742</v>
      </c>
      <c r="C803" t="s">
        <v>32</v>
      </c>
      <c r="D803" t="s">
        <v>21</v>
      </c>
      <c r="E803" t="s">
        <v>18</v>
      </c>
      <c r="F803">
        <v>1880.67</v>
      </c>
      <c r="G803">
        <v>1</v>
      </c>
      <c r="H803">
        <v>0</v>
      </c>
      <c r="I803">
        <v>4</v>
      </c>
    </row>
    <row r="804" spans="1:9" x14ac:dyDescent="0.2">
      <c r="A804" t="s">
        <v>843</v>
      </c>
      <c r="B804" s="1">
        <v>45984</v>
      </c>
      <c r="C804" t="s">
        <v>37</v>
      </c>
      <c r="D804" t="s">
        <v>11</v>
      </c>
      <c r="E804" t="s">
        <v>39</v>
      </c>
      <c r="F804">
        <v>1255.69</v>
      </c>
      <c r="G804">
        <v>5</v>
      </c>
      <c r="H804">
        <v>0</v>
      </c>
    </row>
    <row r="805" spans="1:9" x14ac:dyDescent="0.2">
      <c r="A805" t="s">
        <v>844</v>
      </c>
      <c r="B805" s="1">
        <v>45978</v>
      </c>
      <c r="C805" t="s">
        <v>34</v>
      </c>
      <c r="D805" t="s">
        <v>11</v>
      </c>
      <c r="E805" t="s">
        <v>56</v>
      </c>
      <c r="F805">
        <v>1243.6500000000001</v>
      </c>
      <c r="G805">
        <v>10</v>
      </c>
      <c r="H805">
        <v>0</v>
      </c>
      <c r="I805">
        <v>2</v>
      </c>
    </row>
    <row r="806" spans="1:9" x14ac:dyDescent="0.2">
      <c r="A806" t="s">
        <v>845</v>
      </c>
      <c r="B806" s="1">
        <v>45943</v>
      </c>
      <c r="C806" t="s">
        <v>29</v>
      </c>
      <c r="D806" t="s">
        <v>15</v>
      </c>
      <c r="E806" t="s">
        <v>47</v>
      </c>
      <c r="F806">
        <v>353.32</v>
      </c>
      <c r="G806">
        <v>2</v>
      </c>
      <c r="H806">
        <v>0.1</v>
      </c>
      <c r="I806">
        <v>5</v>
      </c>
    </row>
    <row r="807" spans="1:9" x14ac:dyDescent="0.2">
      <c r="A807" t="s">
        <v>846</v>
      </c>
      <c r="B807" s="1">
        <v>45815</v>
      </c>
      <c r="C807" t="s">
        <v>54</v>
      </c>
      <c r="D807" t="s">
        <v>15</v>
      </c>
      <c r="E807" t="s">
        <v>47</v>
      </c>
      <c r="F807">
        <v>341.98</v>
      </c>
      <c r="G807">
        <v>1</v>
      </c>
      <c r="H807">
        <v>0.15</v>
      </c>
      <c r="I807">
        <v>5</v>
      </c>
    </row>
    <row r="808" spans="1:9" x14ac:dyDescent="0.2">
      <c r="A808" t="s">
        <v>847</v>
      </c>
      <c r="B808" s="1">
        <v>45918</v>
      </c>
      <c r="C808" t="s">
        <v>26</v>
      </c>
      <c r="D808" t="s">
        <v>27</v>
      </c>
      <c r="E808" t="s">
        <v>47</v>
      </c>
      <c r="F808">
        <v>685.68</v>
      </c>
      <c r="G808">
        <v>-1</v>
      </c>
      <c r="H808">
        <v>0</v>
      </c>
      <c r="I808">
        <v>4</v>
      </c>
    </row>
    <row r="809" spans="1:9" x14ac:dyDescent="0.2">
      <c r="A809" t="s">
        <v>848</v>
      </c>
      <c r="B809" s="1">
        <v>45988</v>
      </c>
      <c r="C809" t="s">
        <v>37</v>
      </c>
      <c r="D809" t="s">
        <v>11</v>
      </c>
      <c r="E809" t="s">
        <v>30</v>
      </c>
      <c r="F809">
        <v>1027.57</v>
      </c>
      <c r="G809">
        <v>3</v>
      </c>
      <c r="H809">
        <v>0</v>
      </c>
      <c r="I809">
        <v>5</v>
      </c>
    </row>
    <row r="810" spans="1:9" x14ac:dyDescent="0.2">
      <c r="A810" t="s">
        <v>849</v>
      </c>
      <c r="B810" s="1">
        <v>45717</v>
      </c>
      <c r="C810" t="s">
        <v>26</v>
      </c>
      <c r="D810" t="s">
        <v>27</v>
      </c>
      <c r="E810" t="s">
        <v>22</v>
      </c>
      <c r="F810">
        <v>615.51</v>
      </c>
      <c r="G810">
        <v>10</v>
      </c>
      <c r="H810">
        <v>0.15</v>
      </c>
      <c r="I810">
        <v>1</v>
      </c>
    </row>
    <row r="811" spans="1:9" x14ac:dyDescent="0.2">
      <c r="A811" t="s">
        <v>850</v>
      </c>
      <c r="B811" s="1">
        <v>46009</v>
      </c>
      <c r="C811" t="s">
        <v>50</v>
      </c>
      <c r="D811" t="s">
        <v>11</v>
      </c>
      <c r="E811" t="s">
        <v>12</v>
      </c>
      <c r="F811">
        <v>1472.54</v>
      </c>
      <c r="G811">
        <v>1</v>
      </c>
      <c r="H811">
        <v>0.15</v>
      </c>
      <c r="I811">
        <v>5</v>
      </c>
    </row>
    <row r="812" spans="1:9" x14ac:dyDescent="0.2">
      <c r="A812" t="s">
        <v>851</v>
      </c>
      <c r="B812" s="1">
        <v>45659</v>
      </c>
      <c r="C812" t="s">
        <v>24</v>
      </c>
      <c r="D812" t="s">
        <v>15</v>
      </c>
      <c r="E812" t="s">
        <v>47</v>
      </c>
      <c r="F812">
        <v>430.06</v>
      </c>
      <c r="G812">
        <v>1</v>
      </c>
      <c r="H812">
        <v>0.2</v>
      </c>
      <c r="I812">
        <v>5</v>
      </c>
    </row>
    <row r="813" spans="1:9" x14ac:dyDescent="0.2">
      <c r="A813" t="s">
        <v>852</v>
      </c>
      <c r="B813" s="1">
        <v>45881</v>
      </c>
      <c r="C813" t="s">
        <v>34</v>
      </c>
      <c r="D813" t="s">
        <v>11</v>
      </c>
      <c r="E813" t="s">
        <v>56</v>
      </c>
      <c r="F813">
        <v>864.34</v>
      </c>
      <c r="G813">
        <v>2</v>
      </c>
      <c r="H813">
        <v>0</v>
      </c>
      <c r="I813">
        <v>5</v>
      </c>
    </row>
    <row r="814" spans="1:9" x14ac:dyDescent="0.2">
      <c r="A814" t="s">
        <v>853</v>
      </c>
      <c r="B814" s="1">
        <v>45809</v>
      </c>
      <c r="C814" t="s">
        <v>14</v>
      </c>
      <c r="D814" t="s">
        <v>15</v>
      </c>
      <c r="E814" t="s">
        <v>56</v>
      </c>
      <c r="F814">
        <v>323.08</v>
      </c>
      <c r="G814">
        <v>5</v>
      </c>
      <c r="H814">
        <v>0</v>
      </c>
      <c r="I814">
        <v>2</v>
      </c>
    </row>
    <row r="815" spans="1:9" x14ac:dyDescent="0.2">
      <c r="A815" t="s">
        <v>854</v>
      </c>
      <c r="B815" s="1">
        <v>45831</v>
      </c>
      <c r="C815" t="s">
        <v>10</v>
      </c>
      <c r="D815" t="s">
        <v>11</v>
      </c>
      <c r="E815" t="s">
        <v>18</v>
      </c>
      <c r="F815">
        <v>987.87</v>
      </c>
      <c r="G815">
        <v>5</v>
      </c>
      <c r="H815">
        <v>0.2</v>
      </c>
      <c r="I815">
        <v>2</v>
      </c>
    </row>
    <row r="816" spans="1:9" x14ac:dyDescent="0.2">
      <c r="A816" t="s">
        <v>338</v>
      </c>
      <c r="B816" s="1">
        <v>45823</v>
      </c>
      <c r="C816" t="s">
        <v>24</v>
      </c>
      <c r="D816" t="s">
        <v>15</v>
      </c>
      <c r="E816" t="s">
        <v>18</v>
      </c>
      <c r="F816">
        <v>407.9</v>
      </c>
      <c r="G816">
        <v>1</v>
      </c>
      <c r="H816">
        <v>0.1</v>
      </c>
    </row>
  </sheetData>
  <autoFilter ref="A1:I816" xr:uid="{F357FF3B-EF9F-B24E-BFF8-816B84384B21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2"/>
  <sheetViews>
    <sheetView topLeftCell="A386" workbookViewId="0">
      <selection activeCell="C2" sqref="C2"/>
    </sheetView>
  </sheetViews>
  <sheetFormatPr baseColWidth="10" defaultRowHeight="16" x14ac:dyDescent="0.2"/>
  <cols>
    <col min="2" max="2" width="10.83203125" style="1"/>
    <col min="7" max="7" width="10.83203125" style="2"/>
    <col min="9" max="9" width="10.83203125" style="3"/>
  </cols>
  <sheetData>
    <row r="1" spans="1:12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855</v>
      </c>
      <c r="H1" t="s">
        <v>6</v>
      </c>
      <c r="I1" s="3" t="s">
        <v>7</v>
      </c>
      <c r="J1" t="s">
        <v>8</v>
      </c>
      <c r="K1" t="s">
        <v>858</v>
      </c>
      <c r="L1" t="s">
        <v>859</v>
      </c>
    </row>
    <row r="2" spans="1:12" x14ac:dyDescent="0.2">
      <c r="A2" t="s">
        <v>468</v>
      </c>
      <c r="B2" s="1">
        <v>45670</v>
      </c>
      <c r="C2" t="s">
        <v>856</v>
      </c>
      <c r="D2" t="s">
        <v>11</v>
      </c>
      <c r="E2" t="s">
        <v>56</v>
      </c>
      <c r="F2">
        <v>1319.21</v>
      </c>
      <c r="G2" s="2">
        <f t="shared" ref="G2:G65" si="0">IF(F2="", AVERAGEIF(C:C, C2, F:F), F2)</f>
        <v>1319.21</v>
      </c>
      <c r="H2">
        <v>2</v>
      </c>
      <c r="I2" s="3">
        <v>0</v>
      </c>
      <c r="J2">
        <v>4</v>
      </c>
      <c r="K2">
        <f>G2*H2</f>
        <v>2638.42</v>
      </c>
      <c r="L2">
        <f>G2*H2*(1-I2)</f>
        <v>2638.42</v>
      </c>
    </row>
    <row r="3" spans="1:12" x14ac:dyDescent="0.2">
      <c r="A3" t="s">
        <v>680</v>
      </c>
      <c r="B3" s="1">
        <v>45710</v>
      </c>
      <c r="C3" t="s">
        <v>32</v>
      </c>
      <c r="D3" t="s">
        <v>21</v>
      </c>
      <c r="E3" t="s">
        <v>30</v>
      </c>
      <c r="F3">
        <v>1750.22</v>
      </c>
      <c r="G3" s="2">
        <f t="shared" si="0"/>
        <v>1750.22</v>
      </c>
      <c r="H3">
        <v>1</v>
      </c>
      <c r="I3" s="3">
        <v>0.15</v>
      </c>
      <c r="J3">
        <v>5</v>
      </c>
      <c r="K3">
        <f t="shared" ref="K3:K66" si="1">G3*H3</f>
        <v>1750.22</v>
      </c>
      <c r="L3">
        <f t="shared" ref="L3:L66" si="2">G3*H3*(1-I3)</f>
        <v>1487.6869999999999</v>
      </c>
    </row>
    <row r="4" spans="1:12" x14ac:dyDescent="0.2">
      <c r="A4" t="s">
        <v>251</v>
      </c>
      <c r="B4" s="1">
        <v>45705</v>
      </c>
      <c r="C4" t="s">
        <v>34</v>
      </c>
      <c r="D4" t="s">
        <v>11</v>
      </c>
      <c r="E4" t="s">
        <v>56</v>
      </c>
      <c r="F4">
        <v>1355.45</v>
      </c>
      <c r="G4" s="2">
        <f t="shared" si="0"/>
        <v>1355.45</v>
      </c>
      <c r="H4">
        <v>2</v>
      </c>
      <c r="I4" s="3">
        <v>0</v>
      </c>
      <c r="J4" t="s">
        <v>857</v>
      </c>
      <c r="K4">
        <f t="shared" si="1"/>
        <v>2710.9</v>
      </c>
      <c r="L4">
        <f t="shared" si="2"/>
        <v>2710.9</v>
      </c>
    </row>
    <row r="5" spans="1:12" x14ac:dyDescent="0.2">
      <c r="A5" t="s">
        <v>317</v>
      </c>
      <c r="B5" s="1">
        <v>45945</v>
      </c>
      <c r="C5" t="s">
        <v>856</v>
      </c>
      <c r="D5" t="s">
        <v>11</v>
      </c>
      <c r="E5" t="s">
        <v>56</v>
      </c>
      <c r="F5">
        <v>1565.53</v>
      </c>
      <c r="G5" s="2">
        <f t="shared" si="0"/>
        <v>1565.53</v>
      </c>
      <c r="H5">
        <v>2</v>
      </c>
      <c r="I5" s="3">
        <v>0.2</v>
      </c>
      <c r="J5" t="s">
        <v>857</v>
      </c>
      <c r="K5">
        <f t="shared" si="1"/>
        <v>3131.06</v>
      </c>
      <c r="L5">
        <f t="shared" si="2"/>
        <v>2504.848</v>
      </c>
    </row>
    <row r="6" spans="1:12" x14ac:dyDescent="0.2">
      <c r="A6" t="s">
        <v>480</v>
      </c>
      <c r="B6" s="1">
        <v>45887</v>
      </c>
      <c r="C6" t="s">
        <v>54</v>
      </c>
      <c r="D6" t="s">
        <v>15</v>
      </c>
      <c r="E6" t="s">
        <v>30</v>
      </c>
      <c r="F6">
        <v>333.61</v>
      </c>
      <c r="G6" s="2">
        <f t="shared" si="0"/>
        <v>333.61</v>
      </c>
      <c r="H6">
        <v>2</v>
      </c>
      <c r="I6" s="3">
        <v>0</v>
      </c>
      <c r="J6">
        <v>3</v>
      </c>
      <c r="K6">
        <f t="shared" si="1"/>
        <v>667.22</v>
      </c>
      <c r="L6">
        <f t="shared" si="2"/>
        <v>667.22</v>
      </c>
    </row>
    <row r="7" spans="1:12" x14ac:dyDescent="0.2">
      <c r="A7" t="s">
        <v>725</v>
      </c>
      <c r="B7" s="1">
        <v>45832</v>
      </c>
      <c r="C7" t="s">
        <v>29</v>
      </c>
      <c r="D7" t="s">
        <v>15</v>
      </c>
      <c r="E7" t="s">
        <v>22</v>
      </c>
      <c r="G7" s="2">
        <f t="shared" si="0"/>
        <v>336.57634615384626</v>
      </c>
      <c r="H7">
        <v>2</v>
      </c>
      <c r="I7" s="3">
        <v>0</v>
      </c>
      <c r="J7">
        <v>4</v>
      </c>
      <c r="K7">
        <f t="shared" si="1"/>
        <v>673.15269230769252</v>
      </c>
      <c r="L7">
        <f t="shared" si="2"/>
        <v>673.15269230769252</v>
      </c>
    </row>
    <row r="8" spans="1:12" x14ac:dyDescent="0.2">
      <c r="A8" t="s">
        <v>830</v>
      </c>
      <c r="B8" s="1">
        <v>45710</v>
      </c>
      <c r="C8" t="s">
        <v>10</v>
      </c>
      <c r="D8" t="s">
        <v>11</v>
      </c>
      <c r="E8" t="s">
        <v>18</v>
      </c>
      <c r="F8">
        <v>1579.01</v>
      </c>
      <c r="G8" s="2">
        <f t="shared" si="0"/>
        <v>1579.01</v>
      </c>
      <c r="H8">
        <v>1</v>
      </c>
      <c r="I8" s="3">
        <v>0.1</v>
      </c>
      <c r="J8">
        <v>2</v>
      </c>
      <c r="K8">
        <f t="shared" si="1"/>
        <v>1579.01</v>
      </c>
      <c r="L8">
        <f t="shared" si="2"/>
        <v>1421.1089999999999</v>
      </c>
    </row>
    <row r="9" spans="1:12" x14ac:dyDescent="0.2">
      <c r="A9" t="s">
        <v>396</v>
      </c>
      <c r="B9" s="1">
        <v>45834</v>
      </c>
      <c r="C9" t="s">
        <v>43</v>
      </c>
      <c r="D9" t="s">
        <v>15</v>
      </c>
      <c r="E9" t="s">
        <v>18</v>
      </c>
      <c r="F9">
        <v>403.72</v>
      </c>
      <c r="G9" s="2">
        <f t="shared" si="0"/>
        <v>403.72</v>
      </c>
      <c r="H9">
        <v>2</v>
      </c>
      <c r="I9" s="3">
        <v>0</v>
      </c>
      <c r="J9">
        <v>5</v>
      </c>
      <c r="K9">
        <f t="shared" si="1"/>
        <v>807.44</v>
      </c>
      <c r="L9">
        <f t="shared" si="2"/>
        <v>807.44</v>
      </c>
    </row>
    <row r="10" spans="1:12" x14ac:dyDescent="0.2">
      <c r="A10" t="s">
        <v>125</v>
      </c>
      <c r="B10" s="1">
        <v>45851</v>
      </c>
      <c r="C10" t="s">
        <v>17</v>
      </c>
      <c r="D10" t="s">
        <v>11</v>
      </c>
      <c r="E10" t="s">
        <v>56</v>
      </c>
      <c r="F10">
        <v>1087.33</v>
      </c>
      <c r="G10" s="2">
        <f t="shared" si="0"/>
        <v>1087.33</v>
      </c>
      <c r="H10">
        <v>1</v>
      </c>
      <c r="I10" s="3">
        <v>0.15</v>
      </c>
      <c r="J10">
        <v>4</v>
      </c>
      <c r="K10">
        <f t="shared" si="1"/>
        <v>1087.33</v>
      </c>
      <c r="L10">
        <f t="shared" si="2"/>
        <v>924.23049999999989</v>
      </c>
    </row>
    <row r="11" spans="1:12" x14ac:dyDescent="0.2">
      <c r="A11" t="s">
        <v>170</v>
      </c>
      <c r="B11" s="1">
        <v>45974</v>
      </c>
      <c r="C11" t="s">
        <v>10</v>
      </c>
      <c r="D11" t="s">
        <v>11</v>
      </c>
      <c r="E11" t="s">
        <v>30</v>
      </c>
      <c r="F11">
        <v>1330.21</v>
      </c>
      <c r="G11" s="2">
        <f t="shared" si="0"/>
        <v>1330.21</v>
      </c>
      <c r="H11">
        <v>3</v>
      </c>
      <c r="I11" s="3">
        <v>0.15</v>
      </c>
      <c r="J11">
        <v>4</v>
      </c>
      <c r="K11">
        <f t="shared" si="1"/>
        <v>3990.63</v>
      </c>
      <c r="L11">
        <f t="shared" si="2"/>
        <v>3392.0355</v>
      </c>
    </row>
    <row r="12" spans="1:12" x14ac:dyDescent="0.2">
      <c r="A12" t="s">
        <v>376</v>
      </c>
      <c r="B12" s="1">
        <v>45681</v>
      </c>
      <c r="C12" t="s">
        <v>29</v>
      </c>
      <c r="D12" t="s">
        <v>15</v>
      </c>
      <c r="E12" t="s">
        <v>56</v>
      </c>
      <c r="F12">
        <v>317.56</v>
      </c>
      <c r="G12" s="2">
        <f t="shared" si="0"/>
        <v>317.56</v>
      </c>
      <c r="H12">
        <v>2</v>
      </c>
      <c r="I12" s="3">
        <v>0</v>
      </c>
      <c r="J12">
        <v>2</v>
      </c>
      <c r="K12">
        <f t="shared" si="1"/>
        <v>635.12</v>
      </c>
      <c r="L12">
        <f t="shared" si="2"/>
        <v>635.12</v>
      </c>
    </row>
    <row r="13" spans="1:12" x14ac:dyDescent="0.2">
      <c r="A13" t="s">
        <v>649</v>
      </c>
      <c r="B13" s="1">
        <v>45709</v>
      </c>
      <c r="C13" t="s">
        <v>10</v>
      </c>
      <c r="D13" t="s">
        <v>11</v>
      </c>
      <c r="E13" t="s">
        <v>30</v>
      </c>
      <c r="F13">
        <v>1088.22</v>
      </c>
      <c r="G13" s="2">
        <f t="shared" si="0"/>
        <v>1088.22</v>
      </c>
      <c r="H13">
        <v>5</v>
      </c>
      <c r="I13" s="3">
        <v>0</v>
      </c>
      <c r="J13">
        <v>5</v>
      </c>
      <c r="K13">
        <f t="shared" si="1"/>
        <v>5441.1</v>
      </c>
      <c r="L13">
        <f t="shared" si="2"/>
        <v>5441.1</v>
      </c>
    </row>
    <row r="14" spans="1:12" x14ac:dyDescent="0.2">
      <c r="A14" t="s">
        <v>736</v>
      </c>
      <c r="B14" s="1">
        <v>45844</v>
      </c>
      <c r="C14" t="s">
        <v>856</v>
      </c>
      <c r="D14" t="s">
        <v>11</v>
      </c>
      <c r="E14" t="s">
        <v>18</v>
      </c>
      <c r="F14">
        <v>1258.07</v>
      </c>
      <c r="G14" s="2">
        <f t="shared" si="0"/>
        <v>1258.07</v>
      </c>
      <c r="H14">
        <v>1</v>
      </c>
      <c r="I14" s="3">
        <v>0</v>
      </c>
      <c r="J14">
        <v>5</v>
      </c>
      <c r="K14">
        <f t="shared" si="1"/>
        <v>1258.07</v>
      </c>
      <c r="L14">
        <f t="shared" si="2"/>
        <v>1258.07</v>
      </c>
    </row>
    <row r="15" spans="1:12" x14ac:dyDescent="0.2">
      <c r="A15" t="s">
        <v>80</v>
      </c>
      <c r="B15" s="1">
        <v>45794</v>
      </c>
      <c r="C15" t="s">
        <v>32</v>
      </c>
      <c r="D15" t="s">
        <v>21</v>
      </c>
      <c r="E15" t="s">
        <v>30</v>
      </c>
      <c r="F15">
        <v>1111.22</v>
      </c>
      <c r="G15" s="2">
        <f t="shared" si="0"/>
        <v>1111.22</v>
      </c>
      <c r="H15">
        <v>1</v>
      </c>
      <c r="I15" s="3">
        <v>0.15</v>
      </c>
      <c r="J15">
        <v>3</v>
      </c>
      <c r="K15">
        <f t="shared" si="1"/>
        <v>1111.22</v>
      </c>
      <c r="L15">
        <f t="shared" si="2"/>
        <v>944.53700000000003</v>
      </c>
    </row>
    <row r="16" spans="1:12" x14ac:dyDescent="0.2">
      <c r="A16" t="s">
        <v>499</v>
      </c>
      <c r="B16" s="1">
        <v>45783</v>
      </c>
      <c r="C16" t="s">
        <v>17</v>
      </c>
      <c r="D16" t="s">
        <v>11</v>
      </c>
      <c r="E16" t="s">
        <v>30</v>
      </c>
      <c r="F16">
        <v>786.02</v>
      </c>
      <c r="G16" s="2">
        <f t="shared" si="0"/>
        <v>786.02</v>
      </c>
      <c r="H16">
        <v>1</v>
      </c>
      <c r="I16" s="3">
        <v>0.1</v>
      </c>
      <c r="J16">
        <v>5</v>
      </c>
      <c r="K16">
        <f t="shared" si="1"/>
        <v>786.02</v>
      </c>
      <c r="L16">
        <f t="shared" si="2"/>
        <v>707.41800000000001</v>
      </c>
    </row>
    <row r="17" spans="1:12" x14ac:dyDescent="0.2">
      <c r="A17" t="s">
        <v>118</v>
      </c>
      <c r="B17" s="1">
        <v>46010</v>
      </c>
      <c r="C17" t="s">
        <v>43</v>
      </c>
      <c r="D17" t="s">
        <v>15</v>
      </c>
      <c r="E17" t="s">
        <v>30</v>
      </c>
      <c r="F17">
        <v>310.64</v>
      </c>
      <c r="G17" s="2">
        <f t="shared" si="0"/>
        <v>310.64</v>
      </c>
      <c r="H17">
        <v>2</v>
      </c>
      <c r="I17" s="3">
        <v>0.2</v>
      </c>
      <c r="J17">
        <v>5</v>
      </c>
      <c r="K17">
        <f t="shared" si="1"/>
        <v>621.28</v>
      </c>
      <c r="L17">
        <f t="shared" si="2"/>
        <v>497.024</v>
      </c>
    </row>
    <row r="18" spans="1:12" x14ac:dyDescent="0.2">
      <c r="A18" t="s">
        <v>589</v>
      </c>
      <c r="B18" s="1">
        <v>45686</v>
      </c>
      <c r="C18" t="s">
        <v>10</v>
      </c>
      <c r="D18" t="s">
        <v>11</v>
      </c>
      <c r="E18" t="s">
        <v>18</v>
      </c>
      <c r="F18">
        <v>956.92</v>
      </c>
      <c r="G18" s="2">
        <f t="shared" si="0"/>
        <v>956.92</v>
      </c>
      <c r="H18">
        <v>2</v>
      </c>
      <c r="I18" s="3">
        <v>0</v>
      </c>
      <c r="J18">
        <v>5</v>
      </c>
      <c r="K18">
        <f t="shared" si="1"/>
        <v>1913.84</v>
      </c>
      <c r="L18">
        <f t="shared" si="2"/>
        <v>1913.84</v>
      </c>
    </row>
    <row r="19" spans="1:12" x14ac:dyDescent="0.2">
      <c r="A19" t="s">
        <v>327</v>
      </c>
      <c r="B19" s="1">
        <v>45691</v>
      </c>
      <c r="C19" t="s">
        <v>54</v>
      </c>
      <c r="D19" t="s">
        <v>15</v>
      </c>
      <c r="E19" t="s">
        <v>18</v>
      </c>
      <c r="F19">
        <v>372</v>
      </c>
      <c r="G19" s="2">
        <f t="shared" si="0"/>
        <v>372</v>
      </c>
      <c r="H19">
        <v>2</v>
      </c>
      <c r="I19" s="3">
        <v>0.15</v>
      </c>
      <c r="J19">
        <v>5</v>
      </c>
      <c r="K19">
        <f t="shared" si="1"/>
        <v>744</v>
      </c>
      <c r="L19">
        <f t="shared" si="2"/>
        <v>632.4</v>
      </c>
    </row>
    <row r="20" spans="1:12" x14ac:dyDescent="0.2">
      <c r="A20" t="s">
        <v>603</v>
      </c>
      <c r="B20" s="1">
        <v>45913</v>
      </c>
      <c r="C20" t="s">
        <v>32</v>
      </c>
      <c r="D20" t="s">
        <v>21</v>
      </c>
      <c r="E20" t="s">
        <v>30</v>
      </c>
      <c r="F20">
        <v>1473.11</v>
      </c>
      <c r="G20" s="2">
        <f t="shared" si="0"/>
        <v>1473.11</v>
      </c>
      <c r="H20">
        <v>5</v>
      </c>
      <c r="I20" s="3">
        <v>0.2</v>
      </c>
      <c r="J20">
        <v>5</v>
      </c>
      <c r="K20">
        <f t="shared" si="1"/>
        <v>7365.5499999999993</v>
      </c>
      <c r="L20">
        <f t="shared" si="2"/>
        <v>5892.44</v>
      </c>
    </row>
    <row r="21" spans="1:12" x14ac:dyDescent="0.2">
      <c r="A21" t="s">
        <v>789</v>
      </c>
      <c r="B21" s="1">
        <v>45729</v>
      </c>
      <c r="C21" t="s">
        <v>32</v>
      </c>
      <c r="D21" t="s">
        <v>21</v>
      </c>
      <c r="E21" t="s">
        <v>18</v>
      </c>
      <c r="F21">
        <v>1291.57</v>
      </c>
      <c r="G21" s="2">
        <f t="shared" si="0"/>
        <v>1291.57</v>
      </c>
      <c r="H21">
        <v>2</v>
      </c>
      <c r="I21" s="3">
        <v>0.2</v>
      </c>
      <c r="J21" t="s">
        <v>857</v>
      </c>
      <c r="K21">
        <f t="shared" si="1"/>
        <v>2583.14</v>
      </c>
      <c r="L21">
        <f t="shared" si="2"/>
        <v>2066.5120000000002</v>
      </c>
    </row>
    <row r="22" spans="1:12" x14ac:dyDescent="0.2">
      <c r="A22" t="s">
        <v>465</v>
      </c>
      <c r="B22" s="1">
        <v>45957</v>
      </c>
      <c r="C22" t="s">
        <v>17</v>
      </c>
      <c r="D22" t="s">
        <v>11</v>
      </c>
      <c r="E22" t="s">
        <v>18</v>
      </c>
      <c r="F22">
        <v>1551.76</v>
      </c>
      <c r="G22" s="2">
        <f t="shared" si="0"/>
        <v>1551.76</v>
      </c>
      <c r="H22">
        <v>5</v>
      </c>
      <c r="I22" s="3">
        <v>0.15</v>
      </c>
      <c r="J22">
        <v>5</v>
      </c>
      <c r="K22">
        <f t="shared" si="1"/>
        <v>7758.8</v>
      </c>
      <c r="L22">
        <f t="shared" si="2"/>
        <v>6594.98</v>
      </c>
    </row>
    <row r="23" spans="1:12" x14ac:dyDescent="0.2">
      <c r="A23" t="s">
        <v>778</v>
      </c>
      <c r="B23" s="1">
        <v>45728</v>
      </c>
      <c r="C23" t="s">
        <v>43</v>
      </c>
      <c r="D23" t="s">
        <v>15</v>
      </c>
      <c r="E23" t="s">
        <v>30</v>
      </c>
      <c r="F23">
        <v>334.2</v>
      </c>
      <c r="G23" s="2">
        <f t="shared" si="0"/>
        <v>334.2</v>
      </c>
      <c r="H23">
        <v>10</v>
      </c>
      <c r="I23" s="3">
        <v>0</v>
      </c>
      <c r="J23">
        <v>1</v>
      </c>
      <c r="K23">
        <f t="shared" si="1"/>
        <v>3342</v>
      </c>
      <c r="L23">
        <f t="shared" si="2"/>
        <v>3342</v>
      </c>
    </row>
    <row r="24" spans="1:12" x14ac:dyDescent="0.2">
      <c r="A24" t="s">
        <v>248</v>
      </c>
      <c r="B24" s="1">
        <v>45736</v>
      </c>
      <c r="C24" t="s">
        <v>10</v>
      </c>
      <c r="D24" t="s">
        <v>11</v>
      </c>
      <c r="E24" t="s">
        <v>56</v>
      </c>
      <c r="F24">
        <v>1216.21</v>
      </c>
      <c r="G24" s="2">
        <f t="shared" si="0"/>
        <v>1216.21</v>
      </c>
      <c r="H24">
        <v>1</v>
      </c>
      <c r="I24" s="3">
        <v>0.2</v>
      </c>
      <c r="J24">
        <v>5</v>
      </c>
      <c r="K24">
        <f t="shared" si="1"/>
        <v>1216.21</v>
      </c>
      <c r="L24">
        <f t="shared" si="2"/>
        <v>972.96800000000007</v>
      </c>
    </row>
    <row r="25" spans="1:12" x14ac:dyDescent="0.2">
      <c r="A25" t="s">
        <v>358</v>
      </c>
      <c r="B25" s="1">
        <v>45855</v>
      </c>
      <c r="C25" t="s">
        <v>856</v>
      </c>
      <c r="D25" t="s">
        <v>11</v>
      </c>
      <c r="E25" t="s">
        <v>56</v>
      </c>
      <c r="F25">
        <v>858.06</v>
      </c>
      <c r="G25" s="2">
        <f t="shared" si="0"/>
        <v>858.06</v>
      </c>
      <c r="H25">
        <v>5</v>
      </c>
      <c r="I25" s="3">
        <v>0.15</v>
      </c>
      <c r="J25">
        <v>5</v>
      </c>
      <c r="K25">
        <f t="shared" si="1"/>
        <v>4290.2999999999993</v>
      </c>
      <c r="L25">
        <f t="shared" si="2"/>
        <v>3646.7549999999992</v>
      </c>
    </row>
    <row r="26" spans="1:12" x14ac:dyDescent="0.2">
      <c r="A26" t="s">
        <v>220</v>
      </c>
      <c r="B26" s="1">
        <v>45941</v>
      </c>
      <c r="C26" t="s">
        <v>17</v>
      </c>
      <c r="D26" t="s">
        <v>11</v>
      </c>
      <c r="E26" t="s">
        <v>18</v>
      </c>
      <c r="F26">
        <v>1069.3499999999999</v>
      </c>
      <c r="G26" s="2">
        <f t="shared" si="0"/>
        <v>1069.3499999999999</v>
      </c>
      <c r="H26">
        <v>1</v>
      </c>
      <c r="I26" s="3">
        <v>0.2</v>
      </c>
      <c r="J26">
        <v>2</v>
      </c>
      <c r="K26">
        <f t="shared" si="1"/>
        <v>1069.3499999999999</v>
      </c>
      <c r="L26">
        <f t="shared" si="2"/>
        <v>855.48</v>
      </c>
    </row>
    <row r="27" spans="1:12" x14ac:dyDescent="0.2">
      <c r="A27" t="s">
        <v>210</v>
      </c>
      <c r="B27" s="1">
        <v>45794</v>
      </c>
      <c r="C27" t="s">
        <v>856</v>
      </c>
      <c r="D27" t="s">
        <v>11</v>
      </c>
      <c r="E27" t="s">
        <v>56</v>
      </c>
      <c r="F27">
        <v>1226.6199999999999</v>
      </c>
      <c r="G27" s="2">
        <f t="shared" si="0"/>
        <v>1226.6199999999999</v>
      </c>
      <c r="H27">
        <v>3</v>
      </c>
      <c r="I27" s="3">
        <v>0</v>
      </c>
      <c r="J27">
        <v>4</v>
      </c>
      <c r="K27">
        <f t="shared" si="1"/>
        <v>3679.8599999999997</v>
      </c>
      <c r="L27">
        <f t="shared" si="2"/>
        <v>3679.8599999999997</v>
      </c>
    </row>
    <row r="28" spans="1:12" x14ac:dyDescent="0.2">
      <c r="A28" t="s">
        <v>489</v>
      </c>
      <c r="B28" s="1">
        <v>45890</v>
      </c>
      <c r="C28" t="s">
        <v>54</v>
      </c>
      <c r="D28" t="s">
        <v>15</v>
      </c>
      <c r="E28" t="s">
        <v>30</v>
      </c>
      <c r="F28">
        <v>269.43</v>
      </c>
      <c r="G28" s="2">
        <f t="shared" si="0"/>
        <v>269.43</v>
      </c>
      <c r="H28">
        <v>1</v>
      </c>
      <c r="I28" s="3">
        <v>0.2</v>
      </c>
      <c r="J28">
        <v>4</v>
      </c>
      <c r="K28">
        <f t="shared" si="1"/>
        <v>269.43</v>
      </c>
      <c r="L28">
        <f t="shared" si="2"/>
        <v>215.54400000000001</v>
      </c>
    </row>
    <row r="29" spans="1:12" x14ac:dyDescent="0.2">
      <c r="A29" t="s">
        <v>344</v>
      </c>
      <c r="B29" s="1">
        <v>45749</v>
      </c>
      <c r="C29" t="s">
        <v>17</v>
      </c>
      <c r="D29" t="s">
        <v>11</v>
      </c>
      <c r="E29" t="s">
        <v>18</v>
      </c>
      <c r="F29">
        <v>1290.17</v>
      </c>
      <c r="G29" s="2">
        <f t="shared" si="0"/>
        <v>1290.17</v>
      </c>
      <c r="H29">
        <v>1</v>
      </c>
      <c r="I29" s="3">
        <v>0.2</v>
      </c>
      <c r="J29">
        <v>4</v>
      </c>
      <c r="K29">
        <f t="shared" si="1"/>
        <v>1290.17</v>
      </c>
      <c r="L29">
        <f t="shared" si="2"/>
        <v>1032.1360000000002</v>
      </c>
    </row>
    <row r="30" spans="1:12" x14ac:dyDescent="0.2">
      <c r="A30" t="s">
        <v>521</v>
      </c>
      <c r="B30" s="1">
        <v>45917</v>
      </c>
      <c r="C30" t="s">
        <v>10</v>
      </c>
      <c r="D30" t="s">
        <v>11</v>
      </c>
      <c r="E30" t="s">
        <v>30</v>
      </c>
      <c r="F30">
        <v>1055.8499999999999</v>
      </c>
      <c r="G30" s="2">
        <f t="shared" si="0"/>
        <v>1055.8499999999999</v>
      </c>
      <c r="H30">
        <v>2</v>
      </c>
      <c r="I30" s="3">
        <v>0</v>
      </c>
      <c r="J30">
        <v>5</v>
      </c>
      <c r="K30">
        <f t="shared" si="1"/>
        <v>2111.6999999999998</v>
      </c>
      <c r="L30">
        <f t="shared" si="2"/>
        <v>2111.6999999999998</v>
      </c>
    </row>
    <row r="31" spans="1:12" x14ac:dyDescent="0.2">
      <c r="A31" t="s">
        <v>739</v>
      </c>
      <c r="B31" s="1">
        <v>45934</v>
      </c>
      <c r="C31" t="s">
        <v>10</v>
      </c>
      <c r="D31" t="s">
        <v>11</v>
      </c>
      <c r="E31" t="s">
        <v>30</v>
      </c>
      <c r="F31">
        <v>1129.99</v>
      </c>
      <c r="G31" s="2">
        <f t="shared" si="0"/>
        <v>1129.99</v>
      </c>
      <c r="H31">
        <v>1</v>
      </c>
      <c r="I31" s="3">
        <v>0.15</v>
      </c>
      <c r="J31">
        <v>5</v>
      </c>
      <c r="K31">
        <f t="shared" si="1"/>
        <v>1129.99</v>
      </c>
      <c r="L31">
        <f t="shared" si="2"/>
        <v>960.49149999999997</v>
      </c>
    </row>
    <row r="32" spans="1:12" x14ac:dyDescent="0.2">
      <c r="A32" t="s">
        <v>334</v>
      </c>
      <c r="B32" s="1">
        <v>45715</v>
      </c>
      <c r="C32" t="s">
        <v>14</v>
      </c>
      <c r="D32" t="s">
        <v>15</v>
      </c>
      <c r="E32" t="s">
        <v>56</v>
      </c>
      <c r="F32">
        <v>307.88</v>
      </c>
      <c r="G32" s="2">
        <f t="shared" si="0"/>
        <v>307.88</v>
      </c>
      <c r="H32">
        <v>3</v>
      </c>
      <c r="I32" s="3">
        <v>0</v>
      </c>
      <c r="J32">
        <v>4</v>
      </c>
      <c r="K32">
        <f t="shared" si="1"/>
        <v>923.64</v>
      </c>
      <c r="L32">
        <f t="shared" si="2"/>
        <v>923.64</v>
      </c>
    </row>
    <row r="33" spans="1:12" x14ac:dyDescent="0.2">
      <c r="A33" t="s">
        <v>462</v>
      </c>
      <c r="B33" s="1">
        <v>45948</v>
      </c>
      <c r="C33" t="s">
        <v>34</v>
      </c>
      <c r="D33" t="s">
        <v>11</v>
      </c>
      <c r="E33" t="s">
        <v>30</v>
      </c>
      <c r="F33">
        <v>1644.55</v>
      </c>
      <c r="G33" s="2">
        <f t="shared" si="0"/>
        <v>1644.55</v>
      </c>
      <c r="H33">
        <v>1</v>
      </c>
      <c r="I33" s="3">
        <v>0</v>
      </c>
      <c r="J33">
        <v>5</v>
      </c>
      <c r="K33">
        <f t="shared" si="1"/>
        <v>1644.55</v>
      </c>
      <c r="L33">
        <f t="shared" si="2"/>
        <v>1644.55</v>
      </c>
    </row>
    <row r="34" spans="1:12" x14ac:dyDescent="0.2">
      <c r="A34" t="s">
        <v>379</v>
      </c>
      <c r="B34" s="1">
        <v>45930</v>
      </c>
      <c r="C34" t="s">
        <v>10</v>
      </c>
      <c r="D34" t="s">
        <v>11</v>
      </c>
      <c r="E34" t="s">
        <v>56</v>
      </c>
      <c r="F34">
        <v>1196.76</v>
      </c>
      <c r="G34" s="2">
        <f t="shared" si="0"/>
        <v>1196.76</v>
      </c>
      <c r="H34">
        <v>1</v>
      </c>
      <c r="I34" s="3">
        <v>0</v>
      </c>
      <c r="J34">
        <v>5</v>
      </c>
      <c r="K34">
        <f t="shared" si="1"/>
        <v>1196.76</v>
      </c>
      <c r="L34">
        <f t="shared" si="2"/>
        <v>1196.76</v>
      </c>
    </row>
    <row r="35" spans="1:12" x14ac:dyDescent="0.2">
      <c r="A35" t="s">
        <v>787</v>
      </c>
      <c r="B35" s="1">
        <v>45793</v>
      </c>
      <c r="C35" t="s">
        <v>17</v>
      </c>
      <c r="D35" t="s">
        <v>11</v>
      </c>
      <c r="E35" t="s">
        <v>30</v>
      </c>
      <c r="F35">
        <v>946.15</v>
      </c>
      <c r="G35" s="2">
        <f t="shared" si="0"/>
        <v>946.15</v>
      </c>
      <c r="H35">
        <v>5</v>
      </c>
      <c r="I35" s="3">
        <v>0</v>
      </c>
      <c r="J35" t="s">
        <v>857</v>
      </c>
      <c r="K35">
        <f t="shared" si="1"/>
        <v>4730.75</v>
      </c>
      <c r="L35">
        <f t="shared" si="2"/>
        <v>4730.75</v>
      </c>
    </row>
    <row r="36" spans="1:12" x14ac:dyDescent="0.2">
      <c r="A36" t="s">
        <v>38</v>
      </c>
      <c r="B36" s="1">
        <v>46011</v>
      </c>
      <c r="C36" t="s">
        <v>10</v>
      </c>
      <c r="D36" t="s">
        <v>11</v>
      </c>
      <c r="E36" t="s">
        <v>30</v>
      </c>
      <c r="F36">
        <v>1397.41</v>
      </c>
      <c r="G36" s="2">
        <f t="shared" si="0"/>
        <v>1397.41</v>
      </c>
      <c r="H36">
        <v>2</v>
      </c>
      <c r="I36" s="3">
        <v>0.2</v>
      </c>
      <c r="J36">
        <v>4</v>
      </c>
      <c r="K36">
        <f t="shared" si="1"/>
        <v>2794.82</v>
      </c>
      <c r="L36">
        <f t="shared" si="2"/>
        <v>2235.8560000000002</v>
      </c>
    </row>
    <row r="37" spans="1:12" x14ac:dyDescent="0.2">
      <c r="A37" t="s">
        <v>764</v>
      </c>
      <c r="B37" s="1">
        <v>45990</v>
      </c>
      <c r="C37" t="s">
        <v>54</v>
      </c>
      <c r="D37" t="s">
        <v>15</v>
      </c>
      <c r="E37" t="s">
        <v>30</v>
      </c>
      <c r="F37">
        <v>264.54000000000002</v>
      </c>
      <c r="G37" s="2">
        <f t="shared" si="0"/>
        <v>264.54000000000002</v>
      </c>
      <c r="H37">
        <v>3</v>
      </c>
      <c r="I37" s="3">
        <v>0.1</v>
      </c>
      <c r="J37" t="s">
        <v>857</v>
      </c>
      <c r="K37">
        <f t="shared" si="1"/>
        <v>793.62000000000012</v>
      </c>
      <c r="L37">
        <f t="shared" si="2"/>
        <v>714.25800000000015</v>
      </c>
    </row>
    <row r="38" spans="1:12" x14ac:dyDescent="0.2">
      <c r="A38" t="s">
        <v>569</v>
      </c>
      <c r="B38" s="1">
        <v>45784</v>
      </c>
      <c r="C38" t="s">
        <v>14</v>
      </c>
      <c r="D38" t="s">
        <v>15</v>
      </c>
      <c r="E38" t="s">
        <v>860</v>
      </c>
      <c r="F38">
        <v>364.62</v>
      </c>
      <c r="G38" s="2">
        <f t="shared" si="0"/>
        <v>364.62</v>
      </c>
      <c r="H38">
        <v>2</v>
      </c>
      <c r="I38" s="3">
        <v>0</v>
      </c>
      <c r="J38">
        <v>5</v>
      </c>
      <c r="K38">
        <f t="shared" si="1"/>
        <v>729.24</v>
      </c>
      <c r="L38">
        <f t="shared" si="2"/>
        <v>729.24</v>
      </c>
    </row>
    <row r="39" spans="1:12" x14ac:dyDescent="0.2">
      <c r="A39" t="s">
        <v>282</v>
      </c>
      <c r="B39" s="1">
        <v>45941</v>
      </c>
      <c r="C39" t="s">
        <v>34</v>
      </c>
      <c r="D39" t="s">
        <v>11</v>
      </c>
      <c r="E39" t="s">
        <v>56</v>
      </c>
      <c r="F39">
        <v>729.68</v>
      </c>
      <c r="G39" s="2">
        <f t="shared" si="0"/>
        <v>729.68</v>
      </c>
      <c r="H39">
        <v>2</v>
      </c>
      <c r="I39" s="3">
        <v>0.15</v>
      </c>
      <c r="J39">
        <v>4</v>
      </c>
      <c r="K39">
        <f t="shared" si="1"/>
        <v>1459.36</v>
      </c>
      <c r="L39">
        <f t="shared" si="2"/>
        <v>1240.4559999999999</v>
      </c>
    </row>
    <row r="40" spans="1:12" x14ac:dyDescent="0.2">
      <c r="A40" t="s">
        <v>373</v>
      </c>
      <c r="B40" s="1">
        <v>46020</v>
      </c>
      <c r="C40" t="s">
        <v>34</v>
      </c>
      <c r="D40" t="s">
        <v>11</v>
      </c>
      <c r="E40" t="s">
        <v>56</v>
      </c>
      <c r="F40">
        <v>881.24</v>
      </c>
      <c r="G40" s="2">
        <f t="shared" si="0"/>
        <v>881.24</v>
      </c>
      <c r="H40">
        <v>1</v>
      </c>
      <c r="I40" s="3">
        <v>0</v>
      </c>
      <c r="J40">
        <v>2</v>
      </c>
      <c r="K40">
        <f t="shared" si="1"/>
        <v>881.24</v>
      </c>
      <c r="L40">
        <f t="shared" si="2"/>
        <v>881.24</v>
      </c>
    </row>
    <row r="41" spans="1:12" x14ac:dyDescent="0.2">
      <c r="A41" t="s">
        <v>756</v>
      </c>
      <c r="B41" s="1">
        <v>45827</v>
      </c>
      <c r="C41" t="s">
        <v>26</v>
      </c>
      <c r="D41" t="s">
        <v>27</v>
      </c>
      <c r="E41" t="s">
        <v>56</v>
      </c>
      <c r="F41">
        <v>623.62</v>
      </c>
      <c r="G41" s="2">
        <f t="shared" si="0"/>
        <v>623.62</v>
      </c>
      <c r="H41">
        <v>1</v>
      </c>
      <c r="I41" s="3">
        <v>0.15</v>
      </c>
      <c r="J41">
        <v>4</v>
      </c>
      <c r="K41">
        <f t="shared" si="1"/>
        <v>623.62</v>
      </c>
      <c r="L41">
        <f t="shared" si="2"/>
        <v>530.077</v>
      </c>
    </row>
    <row r="42" spans="1:12" x14ac:dyDescent="0.2">
      <c r="A42" t="s">
        <v>401</v>
      </c>
      <c r="B42" s="1">
        <v>45906</v>
      </c>
      <c r="C42" t="s">
        <v>43</v>
      </c>
      <c r="D42" t="s">
        <v>15</v>
      </c>
      <c r="E42" t="s">
        <v>30</v>
      </c>
      <c r="F42">
        <v>401.69</v>
      </c>
      <c r="G42" s="2">
        <f t="shared" si="0"/>
        <v>401.69</v>
      </c>
      <c r="H42">
        <v>2</v>
      </c>
      <c r="I42" s="3">
        <v>0.15</v>
      </c>
      <c r="J42">
        <v>3</v>
      </c>
      <c r="K42">
        <f t="shared" si="1"/>
        <v>803.38</v>
      </c>
      <c r="L42">
        <f t="shared" si="2"/>
        <v>682.87299999999993</v>
      </c>
    </row>
    <row r="43" spans="1:12" x14ac:dyDescent="0.2">
      <c r="A43" t="s">
        <v>514</v>
      </c>
      <c r="B43" s="1">
        <v>45953</v>
      </c>
      <c r="C43" t="s">
        <v>29</v>
      </c>
      <c r="D43" t="s">
        <v>15</v>
      </c>
      <c r="E43" t="s">
        <v>56</v>
      </c>
      <c r="F43">
        <v>362</v>
      </c>
      <c r="G43" s="2">
        <f t="shared" si="0"/>
        <v>362</v>
      </c>
      <c r="H43">
        <v>10</v>
      </c>
      <c r="I43" s="3">
        <v>0</v>
      </c>
      <c r="J43">
        <v>5</v>
      </c>
      <c r="K43">
        <f t="shared" si="1"/>
        <v>3620</v>
      </c>
      <c r="L43">
        <f t="shared" si="2"/>
        <v>3620</v>
      </c>
    </row>
    <row r="44" spans="1:12" x14ac:dyDescent="0.2">
      <c r="A44" t="s">
        <v>688</v>
      </c>
      <c r="B44" s="1">
        <v>45755</v>
      </c>
      <c r="C44" t="s">
        <v>10</v>
      </c>
      <c r="D44" t="s">
        <v>11</v>
      </c>
      <c r="E44" t="s">
        <v>22</v>
      </c>
      <c r="F44">
        <v>1172.24</v>
      </c>
      <c r="G44" s="2">
        <f t="shared" si="0"/>
        <v>1172.24</v>
      </c>
      <c r="H44">
        <v>1</v>
      </c>
      <c r="I44" s="3">
        <v>0</v>
      </c>
      <c r="J44">
        <v>5</v>
      </c>
      <c r="K44">
        <f t="shared" si="1"/>
        <v>1172.24</v>
      </c>
      <c r="L44">
        <f t="shared" si="2"/>
        <v>1172.24</v>
      </c>
    </row>
    <row r="45" spans="1:12" x14ac:dyDescent="0.2">
      <c r="A45" t="s">
        <v>542</v>
      </c>
      <c r="B45" s="1">
        <v>45868</v>
      </c>
      <c r="C45" t="s">
        <v>43</v>
      </c>
      <c r="D45" t="s">
        <v>15</v>
      </c>
      <c r="E45" t="s">
        <v>22</v>
      </c>
      <c r="F45">
        <v>328.92</v>
      </c>
      <c r="G45" s="2">
        <f t="shared" si="0"/>
        <v>328.92</v>
      </c>
      <c r="H45">
        <v>10</v>
      </c>
      <c r="I45" s="3">
        <v>0.2</v>
      </c>
      <c r="J45">
        <v>1</v>
      </c>
      <c r="K45">
        <f t="shared" si="1"/>
        <v>3289.2000000000003</v>
      </c>
      <c r="L45">
        <f t="shared" si="2"/>
        <v>2631.3600000000006</v>
      </c>
    </row>
    <row r="46" spans="1:12" x14ac:dyDescent="0.2">
      <c r="A46" t="s">
        <v>827</v>
      </c>
      <c r="B46" s="1">
        <v>45988</v>
      </c>
      <c r="C46" t="s">
        <v>856</v>
      </c>
      <c r="D46" t="s">
        <v>11</v>
      </c>
      <c r="E46" t="s">
        <v>30</v>
      </c>
      <c r="F46">
        <v>845.15</v>
      </c>
      <c r="G46" s="2">
        <f t="shared" si="0"/>
        <v>845.15</v>
      </c>
      <c r="H46">
        <v>1</v>
      </c>
      <c r="I46" s="3">
        <v>0</v>
      </c>
      <c r="J46">
        <v>5</v>
      </c>
      <c r="K46">
        <f t="shared" si="1"/>
        <v>845.15</v>
      </c>
      <c r="L46">
        <f t="shared" si="2"/>
        <v>845.15</v>
      </c>
    </row>
    <row r="47" spans="1:12" x14ac:dyDescent="0.2">
      <c r="A47" t="s">
        <v>692</v>
      </c>
      <c r="B47" s="1">
        <v>45713</v>
      </c>
      <c r="C47" t="s">
        <v>29</v>
      </c>
      <c r="D47" t="s">
        <v>15</v>
      </c>
      <c r="E47" t="s">
        <v>18</v>
      </c>
      <c r="F47">
        <v>299.61</v>
      </c>
      <c r="G47" s="2">
        <f t="shared" si="0"/>
        <v>299.61</v>
      </c>
      <c r="H47">
        <v>2</v>
      </c>
      <c r="I47" s="3">
        <v>0</v>
      </c>
      <c r="J47">
        <v>4</v>
      </c>
      <c r="K47">
        <f t="shared" si="1"/>
        <v>599.22</v>
      </c>
      <c r="L47">
        <f t="shared" si="2"/>
        <v>599.22</v>
      </c>
    </row>
    <row r="48" spans="1:12" x14ac:dyDescent="0.2">
      <c r="A48" t="s">
        <v>120</v>
      </c>
      <c r="B48" s="1">
        <v>45729</v>
      </c>
      <c r="C48" t="s">
        <v>17</v>
      </c>
      <c r="D48" t="s">
        <v>11</v>
      </c>
      <c r="E48" t="s">
        <v>22</v>
      </c>
      <c r="F48">
        <v>1089.45</v>
      </c>
      <c r="G48" s="2">
        <f t="shared" si="0"/>
        <v>1089.45</v>
      </c>
      <c r="H48">
        <v>5</v>
      </c>
      <c r="I48" s="3">
        <v>0</v>
      </c>
      <c r="J48">
        <v>4</v>
      </c>
      <c r="K48">
        <f t="shared" si="1"/>
        <v>5447.25</v>
      </c>
      <c r="L48">
        <f t="shared" si="2"/>
        <v>5447.25</v>
      </c>
    </row>
    <row r="49" spans="1:12" x14ac:dyDescent="0.2">
      <c r="A49" t="s">
        <v>774</v>
      </c>
      <c r="B49" s="1">
        <v>45696</v>
      </c>
      <c r="C49" t="s">
        <v>14</v>
      </c>
      <c r="D49" t="s">
        <v>15</v>
      </c>
      <c r="E49" t="s">
        <v>30</v>
      </c>
      <c r="F49">
        <v>424</v>
      </c>
      <c r="G49" s="2">
        <f t="shared" si="0"/>
        <v>424</v>
      </c>
      <c r="H49">
        <v>10</v>
      </c>
      <c r="I49" s="3">
        <v>0.15</v>
      </c>
      <c r="J49">
        <v>2</v>
      </c>
      <c r="K49">
        <f t="shared" si="1"/>
        <v>4240</v>
      </c>
      <c r="L49">
        <f t="shared" si="2"/>
        <v>3604</v>
      </c>
    </row>
    <row r="50" spans="1:12" x14ac:dyDescent="0.2">
      <c r="A50" t="s">
        <v>111</v>
      </c>
      <c r="B50" s="1">
        <v>45934</v>
      </c>
      <c r="C50" t="s">
        <v>34</v>
      </c>
      <c r="D50" t="s">
        <v>11</v>
      </c>
      <c r="E50" t="s">
        <v>30</v>
      </c>
      <c r="F50">
        <v>1282.47</v>
      </c>
      <c r="G50" s="2">
        <f t="shared" si="0"/>
        <v>1282.47</v>
      </c>
      <c r="H50">
        <v>1</v>
      </c>
      <c r="I50" s="3">
        <v>0</v>
      </c>
      <c r="J50">
        <v>4</v>
      </c>
      <c r="K50">
        <f t="shared" si="1"/>
        <v>1282.47</v>
      </c>
      <c r="L50">
        <f t="shared" si="2"/>
        <v>1282.47</v>
      </c>
    </row>
    <row r="51" spans="1:12" x14ac:dyDescent="0.2">
      <c r="A51" t="s">
        <v>724</v>
      </c>
      <c r="B51" s="1">
        <v>45906</v>
      </c>
      <c r="C51" t="s">
        <v>32</v>
      </c>
      <c r="D51" t="s">
        <v>21</v>
      </c>
      <c r="E51" t="s">
        <v>22</v>
      </c>
      <c r="F51">
        <v>1165.31</v>
      </c>
      <c r="G51" s="2">
        <f t="shared" si="0"/>
        <v>1165.31</v>
      </c>
      <c r="H51">
        <v>10</v>
      </c>
      <c r="I51" s="3">
        <v>0</v>
      </c>
      <c r="J51">
        <v>5</v>
      </c>
      <c r="K51">
        <f t="shared" si="1"/>
        <v>11653.099999999999</v>
      </c>
      <c r="L51">
        <f t="shared" si="2"/>
        <v>11653.099999999999</v>
      </c>
    </row>
    <row r="52" spans="1:12" x14ac:dyDescent="0.2">
      <c r="A52" t="s">
        <v>152</v>
      </c>
      <c r="B52" s="1">
        <v>45742</v>
      </c>
      <c r="C52" t="s">
        <v>26</v>
      </c>
      <c r="D52" t="s">
        <v>27</v>
      </c>
      <c r="E52" t="s">
        <v>56</v>
      </c>
      <c r="F52">
        <v>638.89</v>
      </c>
      <c r="G52" s="2">
        <f t="shared" si="0"/>
        <v>638.89</v>
      </c>
      <c r="H52">
        <v>5</v>
      </c>
      <c r="I52" s="3">
        <v>0</v>
      </c>
      <c r="J52">
        <v>5</v>
      </c>
      <c r="K52">
        <f t="shared" si="1"/>
        <v>3194.45</v>
      </c>
      <c r="L52">
        <f t="shared" si="2"/>
        <v>3194.45</v>
      </c>
    </row>
    <row r="53" spans="1:12" x14ac:dyDescent="0.2">
      <c r="A53" t="s">
        <v>265</v>
      </c>
      <c r="B53" s="1">
        <v>45890</v>
      </c>
      <c r="C53" t="s">
        <v>43</v>
      </c>
      <c r="D53" t="s">
        <v>15</v>
      </c>
      <c r="E53" t="s">
        <v>18</v>
      </c>
      <c r="F53">
        <v>323.04000000000002</v>
      </c>
      <c r="G53" s="2">
        <f t="shared" si="0"/>
        <v>323.04000000000002</v>
      </c>
      <c r="H53">
        <v>2</v>
      </c>
      <c r="I53" s="3">
        <v>0.1</v>
      </c>
      <c r="J53" t="s">
        <v>857</v>
      </c>
      <c r="K53">
        <f t="shared" si="1"/>
        <v>646.08000000000004</v>
      </c>
      <c r="L53">
        <f t="shared" si="2"/>
        <v>581.47200000000009</v>
      </c>
    </row>
    <row r="54" spans="1:12" x14ac:dyDescent="0.2">
      <c r="A54" t="s">
        <v>326</v>
      </c>
      <c r="B54" s="1">
        <v>45907</v>
      </c>
      <c r="C54" t="s">
        <v>856</v>
      </c>
      <c r="D54" t="s">
        <v>11</v>
      </c>
      <c r="E54" t="s">
        <v>30</v>
      </c>
      <c r="F54">
        <v>1037.54</v>
      </c>
      <c r="G54" s="2">
        <f t="shared" si="0"/>
        <v>1037.54</v>
      </c>
      <c r="H54">
        <v>1</v>
      </c>
      <c r="I54" s="3">
        <v>0</v>
      </c>
      <c r="J54">
        <v>4</v>
      </c>
      <c r="K54">
        <f t="shared" si="1"/>
        <v>1037.54</v>
      </c>
      <c r="L54">
        <f t="shared" si="2"/>
        <v>1037.54</v>
      </c>
    </row>
    <row r="55" spans="1:12" x14ac:dyDescent="0.2">
      <c r="A55" t="s">
        <v>70</v>
      </c>
      <c r="B55" s="1">
        <v>45954</v>
      </c>
      <c r="C55" t="s">
        <v>32</v>
      </c>
      <c r="D55" t="s">
        <v>21</v>
      </c>
      <c r="E55" t="s">
        <v>56</v>
      </c>
      <c r="F55">
        <v>2020.2</v>
      </c>
      <c r="G55" s="2">
        <f t="shared" si="0"/>
        <v>2020.2</v>
      </c>
      <c r="H55">
        <v>1</v>
      </c>
      <c r="I55" s="3">
        <v>0.2</v>
      </c>
      <c r="J55">
        <v>5</v>
      </c>
      <c r="K55">
        <f t="shared" si="1"/>
        <v>2020.2</v>
      </c>
      <c r="L55">
        <f t="shared" si="2"/>
        <v>1616.16</v>
      </c>
    </row>
    <row r="56" spans="1:12" x14ac:dyDescent="0.2">
      <c r="A56" t="s">
        <v>294</v>
      </c>
      <c r="B56" s="1">
        <v>45957</v>
      </c>
      <c r="C56" t="s">
        <v>34</v>
      </c>
      <c r="D56" t="s">
        <v>11</v>
      </c>
      <c r="E56" t="s">
        <v>56</v>
      </c>
      <c r="F56">
        <v>1447.44</v>
      </c>
      <c r="G56" s="2">
        <f t="shared" si="0"/>
        <v>1447.44</v>
      </c>
      <c r="H56">
        <v>10</v>
      </c>
      <c r="I56" s="3">
        <v>0.15</v>
      </c>
      <c r="J56" t="s">
        <v>857</v>
      </c>
      <c r="K56">
        <f t="shared" si="1"/>
        <v>14474.400000000001</v>
      </c>
      <c r="L56">
        <f t="shared" si="2"/>
        <v>12303.240000000002</v>
      </c>
    </row>
    <row r="57" spans="1:12" x14ac:dyDescent="0.2">
      <c r="A57" t="s">
        <v>304</v>
      </c>
      <c r="B57" s="1">
        <v>45918</v>
      </c>
      <c r="C57" t="s">
        <v>32</v>
      </c>
      <c r="D57" t="s">
        <v>21</v>
      </c>
      <c r="E57" t="s">
        <v>56</v>
      </c>
      <c r="F57">
        <v>2135.2600000000002</v>
      </c>
      <c r="G57" s="2">
        <f t="shared" si="0"/>
        <v>2135.2600000000002</v>
      </c>
      <c r="H57">
        <v>1</v>
      </c>
      <c r="I57" s="3">
        <v>0</v>
      </c>
      <c r="J57">
        <v>2</v>
      </c>
      <c r="K57">
        <f t="shared" si="1"/>
        <v>2135.2600000000002</v>
      </c>
      <c r="L57">
        <f t="shared" si="2"/>
        <v>2135.2600000000002</v>
      </c>
    </row>
    <row r="58" spans="1:12" x14ac:dyDescent="0.2">
      <c r="A58" t="s">
        <v>415</v>
      </c>
      <c r="B58" s="1">
        <v>46003</v>
      </c>
      <c r="C58" t="s">
        <v>856</v>
      </c>
      <c r="D58" t="s">
        <v>11</v>
      </c>
      <c r="E58" t="s">
        <v>56</v>
      </c>
      <c r="G58" s="2">
        <f t="shared" si="0"/>
        <v>1225.2512631578948</v>
      </c>
      <c r="H58">
        <v>2</v>
      </c>
      <c r="I58" s="3">
        <v>0.1</v>
      </c>
      <c r="J58">
        <v>2</v>
      </c>
      <c r="K58">
        <f t="shared" si="1"/>
        <v>2450.5025263157895</v>
      </c>
      <c r="L58">
        <f t="shared" si="2"/>
        <v>2205.4522736842105</v>
      </c>
    </row>
    <row r="59" spans="1:12" x14ac:dyDescent="0.2">
      <c r="A59" t="s">
        <v>126</v>
      </c>
      <c r="B59" s="1">
        <v>45784</v>
      </c>
      <c r="C59" t="s">
        <v>26</v>
      </c>
      <c r="D59" t="s">
        <v>27</v>
      </c>
      <c r="E59" t="s">
        <v>56</v>
      </c>
      <c r="F59">
        <v>562.89</v>
      </c>
      <c r="G59" s="2">
        <f t="shared" si="0"/>
        <v>562.89</v>
      </c>
      <c r="H59">
        <v>1</v>
      </c>
      <c r="I59" s="3">
        <v>0.15</v>
      </c>
      <c r="J59">
        <v>2</v>
      </c>
      <c r="K59">
        <f t="shared" si="1"/>
        <v>562.89</v>
      </c>
      <c r="L59">
        <f t="shared" si="2"/>
        <v>478.45649999999995</v>
      </c>
    </row>
    <row r="60" spans="1:12" x14ac:dyDescent="0.2">
      <c r="A60" t="s">
        <v>318</v>
      </c>
      <c r="B60" s="1">
        <v>45956</v>
      </c>
      <c r="C60" t="s">
        <v>54</v>
      </c>
      <c r="D60" t="s">
        <v>15</v>
      </c>
      <c r="E60" t="s">
        <v>30</v>
      </c>
      <c r="F60">
        <v>373.19</v>
      </c>
      <c r="G60" s="2">
        <f t="shared" si="0"/>
        <v>373.19</v>
      </c>
      <c r="H60">
        <v>3</v>
      </c>
      <c r="I60" s="3">
        <v>0</v>
      </c>
      <c r="J60">
        <v>4</v>
      </c>
      <c r="K60">
        <f t="shared" si="1"/>
        <v>1119.57</v>
      </c>
      <c r="L60">
        <f t="shared" si="2"/>
        <v>1119.57</v>
      </c>
    </row>
    <row r="61" spans="1:12" x14ac:dyDescent="0.2">
      <c r="A61" t="s">
        <v>506</v>
      </c>
      <c r="B61" s="1">
        <v>45818</v>
      </c>
      <c r="C61" t="s">
        <v>856</v>
      </c>
      <c r="D61" t="s">
        <v>11</v>
      </c>
      <c r="E61" t="s">
        <v>30</v>
      </c>
      <c r="F61">
        <v>1434.13</v>
      </c>
      <c r="G61" s="2">
        <f t="shared" si="0"/>
        <v>1434.13</v>
      </c>
      <c r="H61">
        <v>2</v>
      </c>
      <c r="I61" s="3">
        <v>0</v>
      </c>
      <c r="J61">
        <v>5</v>
      </c>
      <c r="K61">
        <f t="shared" si="1"/>
        <v>2868.26</v>
      </c>
      <c r="L61">
        <f t="shared" si="2"/>
        <v>2868.26</v>
      </c>
    </row>
    <row r="62" spans="1:12" x14ac:dyDescent="0.2">
      <c r="A62" t="s">
        <v>119</v>
      </c>
      <c r="B62" s="1">
        <v>45988</v>
      </c>
      <c r="C62" t="s">
        <v>32</v>
      </c>
      <c r="D62" t="s">
        <v>21</v>
      </c>
      <c r="E62" t="s">
        <v>30</v>
      </c>
      <c r="F62">
        <v>1627.5</v>
      </c>
      <c r="G62" s="2">
        <f t="shared" si="0"/>
        <v>1627.5</v>
      </c>
      <c r="H62">
        <v>2</v>
      </c>
      <c r="I62" s="3">
        <v>0.1</v>
      </c>
      <c r="J62">
        <v>5</v>
      </c>
      <c r="K62">
        <f t="shared" si="1"/>
        <v>3255</v>
      </c>
      <c r="L62">
        <f t="shared" si="2"/>
        <v>2929.5</v>
      </c>
    </row>
    <row r="63" spans="1:12" x14ac:dyDescent="0.2">
      <c r="A63" t="s">
        <v>67</v>
      </c>
      <c r="B63" s="1">
        <v>45695</v>
      </c>
      <c r="C63" t="s">
        <v>26</v>
      </c>
      <c r="D63" t="s">
        <v>27</v>
      </c>
      <c r="E63" t="s">
        <v>18</v>
      </c>
      <c r="F63">
        <v>577.72</v>
      </c>
      <c r="G63" s="2">
        <f t="shared" si="0"/>
        <v>577.72</v>
      </c>
      <c r="H63">
        <v>1</v>
      </c>
      <c r="I63" s="3">
        <v>0.1</v>
      </c>
      <c r="J63">
        <v>2</v>
      </c>
      <c r="K63">
        <f t="shared" si="1"/>
        <v>577.72</v>
      </c>
      <c r="L63">
        <f t="shared" si="2"/>
        <v>519.94800000000009</v>
      </c>
    </row>
    <row r="64" spans="1:12" x14ac:dyDescent="0.2">
      <c r="A64" t="s">
        <v>536</v>
      </c>
      <c r="B64" s="1">
        <v>45767</v>
      </c>
      <c r="C64" t="s">
        <v>34</v>
      </c>
      <c r="D64" t="s">
        <v>11</v>
      </c>
      <c r="E64" t="s">
        <v>56</v>
      </c>
      <c r="F64">
        <v>934.48</v>
      </c>
      <c r="G64" s="2">
        <f t="shared" si="0"/>
        <v>934.48</v>
      </c>
      <c r="H64">
        <v>2</v>
      </c>
      <c r="I64" s="3">
        <v>0</v>
      </c>
      <c r="J64">
        <v>5</v>
      </c>
      <c r="K64">
        <f t="shared" si="1"/>
        <v>1868.96</v>
      </c>
      <c r="L64">
        <f t="shared" si="2"/>
        <v>1868.96</v>
      </c>
    </row>
    <row r="65" spans="1:12" x14ac:dyDescent="0.2">
      <c r="A65" t="s">
        <v>159</v>
      </c>
      <c r="B65" s="1">
        <v>45783</v>
      </c>
      <c r="C65" t="s">
        <v>26</v>
      </c>
      <c r="D65" t="s">
        <v>27</v>
      </c>
      <c r="E65" t="s">
        <v>56</v>
      </c>
      <c r="F65">
        <v>456.46</v>
      </c>
      <c r="G65" s="2">
        <f t="shared" si="0"/>
        <v>456.46</v>
      </c>
      <c r="H65">
        <v>3</v>
      </c>
      <c r="I65" s="3">
        <v>0</v>
      </c>
      <c r="J65">
        <v>3</v>
      </c>
      <c r="K65">
        <f t="shared" si="1"/>
        <v>1369.3799999999999</v>
      </c>
      <c r="L65">
        <f t="shared" si="2"/>
        <v>1369.3799999999999</v>
      </c>
    </row>
    <row r="66" spans="1:12" x14ac:dyDescent="0.2">
      <c r="A66" t="s">
        <v>179</v>
      </c>
      <c r="B66" s="1">
        <v>45936</v>
      </c>
      <c r="C66" t="s">
        <v>14</v>
      </c>
      <c r="D66" t="s">
        <v>15</v>
      </c>
      <c r="E66" t="s">
        <v>18</v>
      </c>
      <c r="F66">
        <v>406.88</v>
      </c>
      <c r="G66" s="2">
        <f t="shared" ref="G66:G129" si="3">IF(F66="", AVERAGEIF(C:C, C66, F:F), F66)</f>
        <v>406.88</v>
      </c>
      <c r="H66">
        <v>2</v>
      </c>
      <c r="I66" s="3">
        <v>0.15</v>
      </c>
      <c r="J66" t="s">
        <v>857</v>
      </c>
      <c r="K66">
        <f t="shared" si="1"/>
        <v>813.76</v>
      </c>
      <c r="L66">
        <f t="shared" si="2"/>
        <v>691.69600000000003</v>
      </c>
    </row>
    <row r="67" spans="1:12" x14ac:dyDescent="0.2">
      <c r="A67" t="s">
        <v>263</v>
      </c>
      <c r="B67" s="1">
        <v>45941</v>
      </c>
      <c r="C67" t="s">
        <v>34</v>
      </c>
      <c r="D67" t="s">
        <v>11</v>
      </c>
      <c r="E67" t="s">
        <v>30</v>
      </c>
      <c r="F67">
        <v>1525.5</v>
      </c>
      <c r="G67" s="2">
        <f t="shared" si="3"/>
        <v>1525.5</v>
      </c>
      <c r="H67">
        <v>2</v>
      </c>
      <c r="I67" s="3">
        <v>0.2</v>
      </c>
      <c r="J67">
        <v>2</v>
      </c>
      <c r="K67">
        <f t="shared" ref="K67:K130" si="4">G67*H67</f>
        <v>3051</v>
      </c>
      <c r="L67">
        <f t="shared" ref="L67:L130" si="5">G67*H67*(1-I67)</f>
        <v>2440.8000000000002</v>
      </c>
    </row>
    <row r="68" spans="1:12" x14ac:dyDescent="0.2">
      <c r="A68" t="s">
        <v>168</v>
      </c>
      <c r="B68" s="1">
        <v>45793</v>
      </c>
      <c r="C68" t="s">
        <v>26</v>
      </c>
      <c r="D68" t="s">
        <v>27</v>
      </c>
      <c r="E68" t="s">
        <v>30</v>
      </c>
      <c r="F68">
        <v>591.36</v>
      </c>
      <c r="G68" s="2">
        <f t="shared" si="3"/>
        <v>591.36</v>
      </c>
      <c r="H68">
        <v>1</v>
      </c>
      <c r="I68" s="3">
        <v>0</v>
      </c>
      <c r="J68" t="s">
        <v>857</v>
      </c>
      <c r="K68">
        <f t="shared" si="4"/>
        <v>591.36</v>
      </c>
      <c r="L68">
        <f t="shared" si="5"/>
        <v>591.36</v>
      </c>
    </row>
    <row r="69" spans="1:12" x14ac:dyDescent="0.2">
      <c r="A69" t="s">
        <v>634</v>
      </c>
      <c r="B69" s="1">
        <v>45802</v>
      </c>
      <c r="C69" t="s">
        <v>32</v>
      </c>
      <c r="D69" t="s">
        <v>21</v>
      </c>
      <c r="E69" t="s">
        <v>18</v>
      </c>
      <c r="F69">
        <v>2161.27</v>
      </c>
      <c r="G69" s="2">
        <f t="shared" si="3"/>
        <v>2161.27</v>
      </c>
      <c r="H69">
        <v>2</v>
      </c>
      <c r="I69" s="3">
        <v>0.2</v>
      </c>
      <c r="J69">
        <v>5</v>
      </c>
      <c r="K69">
        <f t="shared" si="4"/>
        <v>4322.54</v>
      </c>
      <c r="L69">
        <f t="shared" si="5"/>
        <v>3458.0320000000002</v>
      </c>
    </row>
    <row r="70" spans="1:12" x14ac:dyDescent="0.2">
      <c r="A70" t="s">
        <v>837</v>
      </c>
      <c r="B70" s="1">
        <v>45982</v>
      </c>
      <c r="C70" t="s">
        <v>32</v>
      </c>
      <c r="D70" t="s">
        <v>21</v>
      </c>
      <c r="E70" t="s">
        <v>30</v>
      </c>
      <c r="F70">
        <v>1930.19</v>
      </c>
      <c r="G70" s="2">
        <f t="shared" si="3"/>
        <v>1930.19</v>
      </c>
      <c r="H70">
        <v>2</v>
      </c>
      <c r="I70" s="3">
        <v>0.15</v>
      </c>
      <c r="J70">
        <v>5</v>
      </c>
      <c r="K70">
        <f t="shared" si="4"/>
        <v>3860.38</v>
      </c>
      <c r="L70">
        <f t="shared" si="5"/>
        <v>3281.3229999999999</v>
      </c>
    </row>
    <row r="71" spans="1:12" x14ac:dyDescent="0.2">
      <c r="A71" t="s">
        <v>646</v>
      </c>
      <c r="B71" s="1">
        <v>45684</v>
      </c>
      <c r="C71" t="s">
        <v>43</v>
      </c>
      <c r="D71" t="s">
        <v>15</v>
      </c>
      <c r="E71" t="s">
        <v>18</v>
      </c>
      <c r="F71">
        <v>304.83999999999997</v>
      </c>
      <c r="G71" s="2">
        <f t="shared" si="3"/>
        <v>304.83999999999997</v>
      </c>
      <c r="H71">
        <v>1</v>
      </c>
      <c r="I71" s="3">
        <v>0.2</v>
      </c>
      <c r="J71">
        <v>5</v>
      </c>
      <c r="K71">
        <f t="shared" si="4"/>
        <v>304.83999999999997</v>
      </c>
      <c r="L71">
        <f t="shared" si="5"/>
        <v>243.87199999999999</v>
      </c>
    </row>
    <row r="72" spans="1:12" x14ac:dyDescent="0.2">
      <c r="A72" t="s">
        <v>229</v>
      </c>
      <c r="B72" s="1">
        <v>45680</v>
      </c>
      <c r="C72" t="s">
        <v>10</v>
      </c>
      <c r="D72" t="s">
        <v>11</v>
      </c>
      <c r="E72" t="s">
        <v>18</v>
      </c>
      <c r="F72">
        <v>1286.73</v>
      </c>
      <c r="G72" s="2">
        <f t="shared" si="3"/>
        <v>1286.73</v>
      </c>
      <c r="H72">
        <v>1</v>
      </c>
      <c r="I72" s="3">
        <v>0</v>
      </c>
      <c r="J72">
        <v>3</v>
      </c>
      <c r="K72">
        <f t="shared" si="4"/>
        <v>1286.73</v>
      </c>
      <c r="L72">
        <f t="shared" si="5"/>
        <v>1286.73</v>
      </c>
    </row>
    <row r="73" spans="1:12" x14ac:dyDescent="0.2">
      <c r="A73" t="s">
        <v>417</v>
      </c>
      <c r="B73" s="1">
        <v>45740</v>
      </c>
      <c r="C73" t="s">
        <v>856</v>
      </c>
      <c r="D73" t="s">
        <v>11</v>
      </c>
      <c r="E73" t="s">
        <v>18</v>
      </c>
      <c r="F73">
        <v>1569.13</v>
      </c>
      <c r="G73" s="2">
        <f t="shared" si="3"/>
        <v>1569.13</v>
      </c>
      <c r="H73">
        <v>10</v>
      </c>
      <c r="I73" s="3">
        <v>0.15</v>
      </c>
      <c r="J73">
        <v>5</v>
      </c>
      <c r="K73">
        <f t="shared" si="4"/>
        <v>15691.300000000001</v>
      </c>
      <c r="L73">
        <f t="shared" si="5"/>
        <v>13337.605000000001</v>
      </c>
    </row>
    <row r="74" spans="1:12" x14ac:dyDescent="0.2">
      <c r="A74" t="s">
        <v>810</v>
      </c>
      <c r="B74" s="1">
        <v>45715</v>
      </c>
      <c r="C74" t="s">
        <v>17</v>
      </c>
      <c r="D74" t="s">
        <v>11</v>
      </c>
      <c r="E74" t="s">
        <v>56</v>
      </c>
      <c r="F74">
        <v>1191.4000000000001</v>
      </c>
      <c r="G74" s="2">
        <f t="shared" si="3"/>
        <v>1191.4000000000001</v>
      </c>
      <c r="H74">
        <v>1</v>
      </c>
      <c r="I74" s="3">
        <v>0.2</v>
      </c>
      <c r="J74">
        <v>3</v>
      </c>
      <c r="K74">
        <f t="shared" si="4"/>
        <v>1191.4000000000001</v>
      </c>
      <c r="L74">
        <f t="shared" si="5"/>
        <v>953.12000000000012</v>
      </c>
    </row>
    <row r="75" spans="1:12" x14ac:dyDescent="0.2">
      <c r="A75" t="s">
        <v>585</v>
      </c>
      <c r="B75" s="1">
        <v>45847</v>
      </c>
      <c r="C75" t="s">
        <v>17</v>
      </c>
      <c r="D75" t="s">
        <v>11</v>
      </c>
      <c r="E75" t="s">
        <v>56</v>
      </c>
      <c r="F75">
        <v>1575.51</v>
      </c>
      <c r="G75" s="2">
        <f t="shared" si="3"/>
        <v>1575.51</v>
      </c>
      <c r="H75">
        <v>1</v>
      </c>
      <c r="I75" s="3">
        <v>0.1</v>
      </c>
      <c r="J75">
        <v>3</v>
      </c>
      <c r="K75">
        <f t="shared" si="4"/>
        <v>1575.51</v>
      </c>
      <c r="L75">
        <f t="shared" si="5"/>
        <v>1417.9590000000001</v>
      </c>
    </row>
    <row r="76" spans="1:12" x14ac:dyDescent="0.2">
      <c r="A76" t="s">
        <v>205</v>
      </c>
      <c r="B76" s="1">
        <v>45844</v>
      </c>
      <c r="C76" t="s">
        <v>34</v>
      </c>
      <c r="D76" t="s">
        <v>11</v>
      </c>
      <c r="E76" t="s">
        <v>18</v>
      </c>
      <c r="F76">
        <v>571.26</v>
      </c>
      <c r="G76" s="2">
        <f t="shared" si="3"/>
        <v>571.26</v>
      </c>
      <c r="H76">
        <v>1</v>
      </c>
      <c r="I76" s="3">
        <v>0</v>
      </c>
      <c r="J76">
        <v>4</v>
      </c>
      <c r="K76">
        <f t="shared" si="4"/>
        <v>571.26</v>
      </c>
      <c r="L76">
        <f t="shared" si="5"/>
        <v>571.26</v>
      </c>
    </row>
    <row r="77" spans="1:12" x14ac:dyDescent="0.2">
      <c r="A77" t="s">
        <v>833</v>
      </c>
      <c r="B77" s="1">
        <v>45999</v>
      </c>
      <c r="C77" t="s">
        <v>856</v>
      </c>
      <c r="D77" t="s">
        <v>11</v>
      </c>
      <c r="E77" t="s">
        <v>30</v>
      </c>
      <c r="F77">
        <v>1397.26</v>
      </c>
      <c r="G77" s="2">
        <f t="shared" si="3"/>
        <v>1397.26</v>
      </c>
      <c r="H77">
        <v>1</v>
      </c>
      <c r="I77" s="3">
        <v>0</v>
      </c>
      <c r="J77" t="s">
        <v>857</v>
      </c>
      <c r="K77">
        <f t="shared" si="4"/>
        <v>1397.26</v>
      </c>
      <c r="L77">
        <f t="shared" si="5"/>
        <v>1397.26</v>
      </c>
    </row>
    <row r="78" spans="1:12" x14ac:dyDescent="0.2">
      <c r="A78" t="s">
        <v>703</v>
      </c>
      <c r="B78" s="1">
        <v>45866</v>
      </c>
      <c r="C78" t="s">
        <v>26</v>
      </c>
      <c r="D78" t="s">
        <v>27</v>
      </c>
      <c r="E78" t="s">
        <v>18</v>
      </c>
      <c r="F78">
        <v>610.45000000000005</v>
      </c>
      <c r="G78" s="2">
        <f t="shared" si="3"/>
        <v>610.45000000000005</v>
      </c>
      <c r="H78">
        <v>1</v>
      </c>
      <c r="I78" s="3">
        <v>0</v>
      </c>
      <c r="J78">
        <v>3</v>
      </c>
      <c r="K78">
        <f t="shared" si="4"/>
        <v>610.45000000000005</v>
      </c>
      <c r="L78">
        <f t="shared" si="5"/>
        <v>610.45000000000005</v>
      </c>
    </row>
    <row r="79" spans="1:12" x14ac:dyDescent="0.2">
      <c r="A79" t="s">
        <v>636</v>
      </c>
      <c r="B79" s="1">
        <v>45748</v>
      </c>
      <c r="C79" t="s">
        <v>10</v>
      </c>
      <c r="D79" t="s">
        <v>11</v>
      </c>
      <c r="E79" t="s">
        <v>18</v>
      </c>
      <c r="F79">
        <v>1128.24</v>
      </c>
      <c r="G79" s="2">
        <f t="shared" si="3"/>
        <v>1128.24</v>
      </c>
      <c r="H79">
        <v>5</v>
      </c>
      <c r="I79" s="3">
        <v>0</v>
      </c>
      <c r="J79">
        <v>3</v>
      </c>
      <c r="K79">
        <f t="shared" si="4"/>
        <v>5641.2</v>
      </c>
      <c r="L79">
        <f t="shared" si="5"/>
        <v>5641.2</v>
      </c>
    </row>
    <row r="80" spans="1:12" x14ac:dyDescent="0.2">
      <c r="A80" t="s">
        <v>625</v>
      </c>
      <c r="B80" s="1">
        <v>45868</v>
      </c>
      <c r="C80" t="s">
        <v>29</v>
      </c>
      <c r="D80" t="s">
        <v>15</v>
      </c>
      <c r="E80" t="s">
        <v>18</v>
      </c>
      <c r="F80">
        <v>356.42</v>
      </c>
      <c r="G80" s="2">
        <f t="shared" si="3"/>
        <v>356.42</v>
      </c>
      <c r="H80">
        <v>2</v>
      </c>
      <c r="I80" s="3">
        <v>0</v>
      </c>
      <c r="J80">
        <v>3</v>
      </c>
      <c r="K80">
        <f t="shared" si="4"/>
        <v>712.84</v>
      </c>
      <c r="L80">
        <f t="shared" si="5"/>
        <v>712.84</v>
      </c>
    </row>
    <row r="81" spans="1:12" x14ac:dyDescent="0.2">
      <c r="A81" t="s">
        <v>519</v>
      </c>
      <c r="B81" s="1">
        <v>45713</v>
      </c>
      <c r="C81" t="s">
        <v>10</v>
      </c>
      <c r="D81" t="s">
        <v>11</v>
      </c>
      <c r="E81" t="s">
        <v>30</v>
      </c>
      <c r="F81">
        <v>722.98</v>
      </c>
      <c r="G81" s="2">
        <f t="shared" si="3"/>
        <v>722.98</v>
      </c>
      <c r="H81">
        <v>5</v>
      </c>
      <c r="I81" s="3">
        <v>0</v>
      </c>
      <c r="J81">
        <v>5</v>
      </c>
      <c r="K81">
        <f t="shared" si="4"/>
        <v>3614.9</v>
      </c>
      <c r="L81">
        <f t="shared" si="5"/>
        <v>3614.9</v>
      </c>
    </row>
    <row r="82" spans="1:12" x14ac:dyDescent="0.2">
      <c r="A82" t="s">
        <v>487</v>
      </c>
      <c r="B82" s="1">
        <v>45893</v>
      </c>
      <c r="C82" t="s">
        <v>32</v>
      </c>
      <c r="D82" t="s">
        <v>21</v>
      </c>
      <c r="E82" t="s">
        <v>30</v>
      </c>
      <c r="G82" s="2">
        <f t="shared" si="3"/>
        <v>1804.6623913043472</v>
      </c>
      <c r="H82">
        <v>3</v>
      </c>
      <c r="I82" s="3">
        <v>0</v>
      </c>
      <c r="J82">
        <v>4</v>
      </c>
      <c r="K82">
        <f t="shared" si="4"/>
        <v>5413.9871739130413</v>
      </c>
      <c r="L82">
        <f t="shared" si="5"/>
        <v>5413.9871739130413</v>
      </c>
    </row>
    <row r="83" spans="1:12" x14ac:dyDescent="0.2">
      <c r="A83" t="s">
        <v>277</v>
      </c>
      <c r="B83" s="1">
        <v>45995</v>
      </c>
      <c r="C83" t="s">
        <v>32</v>
      </c>
      <c r="D83" t="s">
        <v>21</v>
      </c>
      <c r="E83" t="s">
        <v>56</v>
      </c>
      <c r="F83">
        <v>1928.56</v>
      </c>
      <c r="G83" s="2">
        <f t="shared" si="3"/>
        <v>1928.56</v>
      </c>
      <c r="H83">
        <v>2</v>
      </c>
      <c r="I83" s="3">
        <v>0.1</v>
      </c>
      <c r="J83">
        <v>5</v>
      </c>
      <c r="K83">
        <f t="shared" si="4"/>
        <v>3857.12</v>
      </c>
      <c r="L83">
        <f t="shared" si="5"/>
        <v>3471.4079999999999</v>
      </c>
    </row>
    <row r="84" spans="1:12" x14ac:dyDescent="0.2">
      <c r="A84" t="s">
        <v>369</v>
      </c>
      <c r="B84" s="1">
        <v>45693</v>
      </c>
      <c r="C84" t="s">
        <v>43</v>
      </c>
      <c r="D84" t="s">
        <v>15</v>
      </c>
      <c r="E84" t="s">
        <v>18</v>
      </c>
      <c r="F84">
        <v>453.45</v>
      </c>
      <c r="G84" s="2">
        <f t="shared" si="3"/>
        <v>453.45</v>
      </c>
      <c r="H84">
        <v>2</v>
      </c>
      <c r="I84" s="3">
        <v>0</v>
      </c>
      <c r="J84" t="s">
        <v>857</v>
      </c>
      <c r="K84">
        <f t="shared" si="4"/>
        <v>906.9</v>
      </c>
      <c r="L84">
        <f t="shared" si="5"/>
        <v>906.9</v>
      </c>
    </row>
    <row r="85" spans="1:12" x14ac:dyDescent="0.2">
      <c r="A85" t="s">
        <v>780</v>
      </c>
      <c r="B85" s="1">
        <v>45932</v>
      </c>
      <c r="C85" t="s">
        <v>54</v>
      </c>
      <c r="D85" t="s">
        <v>15</v>
      </c>
      <c r="E85" t="s">
        <v>30</v>
      </c>
      <c r="F85">
        <v>313.72000000000003</v>
      </c>
      <c r="G85" s="2">
        <f t="shared" si="3"/>
        <v>313.72000000000003</v>
      </c>
      <c r="H85">
        <v>3</v>
      </c>
      <c r="I85" s="3">
        <v>0</v>
      </c>
      <c r="J85">
        <v>2</v>
      </c>
      <c r="K85">
        <f t="shared" si="4"/>
        <v>941.16000000000008</v>
      </c>
      <c r="L85">
        <f t="shared" si="5"/>
        <v>941.16000000000008</v>
      </c>
    </row>
    <row r="86" spans="1:12" x14ac:dyDescent="0.2">
      <c r="A86" t="s">
        <v>315</v>
      </c>
      <c r="B86" s="1">
        <v>45749</v>
      </c>
      <c r="C86" t="s">
        <v>26</v>
      </c>
      <c r="D86" t="s">
        <v>27</v>
      </c>
      <c r="E86" t="s">
        <v>18</v>
      </c>
      <c r="F86">
        <v>502.98</v>
      </c>
      <c r="G86" s="2">
        <f t="shared" si="3"/>
        <v>502.98</v>
      </c>
      <c r="H86">
        <v>2</v>
      </c>
      <c r="I86" s="3">
        <v>0</v>
      </c>
      <c r="J86">
        <v>2</v>
      </c>
      <c r="K86">
        <f t="shared" si="4"/>
        <v>1005.96</v>
      </c>
      <c r="L86">
        <f t="shared" si="5"/>
        <v>1005.96</v>
      </c>
    </row>
    <row r="87" spans="1:12" x14ac:dyDescent="0.2">
      <c r="A87" t="s">
        <v>708</v>
      </c>
      <c r="B87" s="1">
        <v>45834</v>
      </c>
      <c r="C87" t="s">
        <v>856</v>
      </c>
      <c r="D87" t="s">
        <v>11</v>
      </c>
      <c r="E87" t="s">
        <v>22</v>
      </c>
      <c r="F87">
        <v>1079.58</v>
      </c>
      <c r="G87" s="2">
        <f t="shared" si="3"/>
        <v>1079.58</v>
      </c>
      <c r="H87">
        <v>3</v>
      </c>
      <c r="I87" s="3">
        <v>0.1</v>
      </c>
      <c r="J87" t="s">
        <v>857</v>
      </c>
      <c r="K87">
        <f t="shared" si="4"/>
        <v>3238.74</v>
      </c>
      <c r="L87">
        <f t="shared" si="5"/>
        <v>2914.866</v>
      </c>
    </row>
    <row r="88" spans="1:12" x14ac:dyDescent="0.2">
      <c r="A88" t="s">
        <v>501</v>
      </c>
      <c r="B88" s="1">
        <v>45953</v>
      </c>
      <c r="C88" t="s">
        <v>34</v>
      </c>
      <c r="D88" t="s">
        <v>11</v>
      </c>
      <c r="E88" t="s">
        <v>22</v>
      </c>
      <c r="F88">
        <v>1419.7</v>
      </c>
      <c r="G88" s="2">
        <f t="shared" si="3"/>
        <v>1419.7</v>
      </c>
      <c r="H88">
        <v>2</v>
      </c>
      <c r="I88" s="3">
        <v>0</v>
      </c>
      <c r="J88">
        <v>1</v>
      </c>
      <c r="K88">
        <f t="shared" si="4"/>
        <v>2839.4</v>
      </c>
      <c r="L88">
        <f t="shared" si="5"/>
        <v>2839.4</v>
      </c>
    </row>
    <row r="89" spans="1:12" x14ac:dyDescent="0.2">
      <c r="A89" t="s">
        <v>435</v>
      </c>
      <c r="B89" s="1">
        <v>45658</v>
      </c>
      <c r="C89" t="s">
        <v>29</v>
      </c>
      <c r="D89" t="s">
        <v>15</v>
      </c>
      <c r="E89" t="s">
        <v>22</v>
      </c>
      <c r="F89">
        <v>373.01</v>
      </c>
      <c r="G89" s="2">
        <f t="shared" si="3"/>
        <v>373.01</v>
      </c>
      <c r="H89">
        <v>2</v>
      </c>
      <c r="I89" s="3">
        <v>0</v>
      </c>
      <c r="J89">
        <v>5</v>
      </c>
      <c r="K89">
        <f t="shared" si="4"/>
        <v>746.02</v>
      </c>
      <c r="L89">
        <f t="shared" si="5"/>
        <v>746.02</v>
      </c>
    </row>
    <row r="90" spans="1:12" x14ac:dyDescent="0.2">
      <c r="A90" t="s">
        <v>592</v>
      </c>
      <c r="B90" s="1">
        <v>45827</v>
      </c>
      <c r="C90" t="s">
        <v>34</v>
      </c>
      <c r="D90" t="s">
        <v>11</v>
      </c>
      <c r="E90" t="s">
        <v>30</v>
      </c>
      <c r="F90">
        <v>1072.8599999999999</v>
      </c>
      <c r="G90" s="2">
        <f t="shared" si="3"/>
        <v>1072.8599999999999</v>
      </c>
      <c r="H90">
        <v>3</v>
      </c>
      <c r="I90" s="3">
        <v>0.2</v>
      </c>
      <c r="J90">
        <v>2</v>
      </c>
      <c r="K90">
        <f t="shared" si="4"/>
        <v>3218.58</v>
      </c>
      <c r="L90">
        <f t="shared" si="5"/>
        <v>2574.864</v>
      </c>
    </row>
    <row r="91" spans="1:12" x14ac:dyDescent="0.2">
      <c r="A91" t="s">
        <v>389</v>
      </c>
      <c r="B91" s="1">
        <v>45917</v>
      </c>
      <c r="C91" t="s">
        <v>29</v>
      </c>
      <c r="D91" t="s">
        <v>15</v>
      </c>
      <c r="E91" t="s">
        <v>18</v>
      </c>
      <c r="F91">
        <v>385.93</v>
      </c>
      <c r="G91" s="2">
        <f t="shared" si="3"/>
        <v>385.93</v>
      </c>
      <c r="H91">
        <v>2</v>
      </c>
      <c r="I91" s="3">
        <v>0.2</v>
      </c>
      <c r="J91">
        <v>5</v>
      </c>
      <c r="K91">
        <f t="shared" si="4"/>
        <v>771.86</v>
      </c>
      <c r="L91">
        <f t="shared" si="5"/>
        <v>617.48800000000006</v>
      </c>
    </row>
    <row r="92" spans="1:12" x14ac:dyDescent="0.2">
      <c r="A92" t="s">
        <v>421</v>
      </c>
      <c r="B92" s="1">
        <v>46014</v>
      </c>
      <c r="C92" t="s">
        <v>43</v>
      </c>
      <c r="D92" t="s">
        <v>15</v>
      </c>
      <c r="E92" t="s">
        <v>860</v>
      </c>
      <c r="G92" s="2">
        <f t="shared" si="3"/>
        <v>362.89299999999997</v>
      </c>
      <c r="H92">
        <v>2</v>
      </c>
      <c r="I92" s="3">
        <v>0.15</v>
      </c>
      <c r="J92">
        <v>3</v>
      </c>
      <c r="K92">
        <f t="shared" si="4"/>
        <v>725.78599999999994</v>
      </c>
      <c r="L92">
        <f t="shared" si="5"/>
        <v>616.91809999999998</v>
      </c>
    </row>
    <row r="93" spans="1:12" x14ac:dyDescent="0.2">
      <c r="A93" t="s">
        <v>591</v>
      </c>
      <c r="B93" s="1">
        <v>45998</v>
      </c>
      <c r="C93" t="s">
        <v>32</v>
      </c>
      <c r="D93" t="s">
        <v>21</v>
      </c>
      <c r="E93" t="s">
        <v>22</v>
      </c>
      <c r="F93">
        <v>2148.71</v>
      </c>
      <c r="G93" s="2">
        <f t="shared" si="3"/>
        <v>2148.71</v>
      </c>
      <c r="H93">
        <v>5</v>
      </c>
      <c r="I93" s="3">
        <v>0.2</v>
      </c>
      <c r="J93">
        <v>3</v>
      </c>
      <c r="K93">
        <f t="shared" si="4"/>
        <v>10743.55</v>
      </c>
      <c r="L93">
        <f t="shared" si="5"/>
        <v>8594.84</v>
      </c>
    </row>
    <row r="94" spans="1:12" x14ac:dyDescent="0.2">
      <c r="A94" t="s">
        <v>796</v>
      </c>
      <c r="B94" s="1">
        <v>45812</v>
      </c>
      <c r="C94" t="s">
        <v>856</v>
      </c>
      <c r="D94" t="s">
        <v>11</v>
      </c>
      <c r="E94" t="s">
        <v>56</v>
      </c>
      <c r="F94">
        <v>1031.51</v>
      </c>
      <c r="G94" s="2">
        <f t="shared" si="3"/>
        <v>1031.51</v>
      </c>
      <c r="H94">
        <v>5</v>
      </c>
      <c r="I94" s="3">
        <v>0.15</v>
      </c>
      <c r="J94">
        <v>1</v>
      </c>
      <c r="K94">
        <f t="shared" si="4"/>
        <v>5157.55</v>
      </c>
      <c r="L94">
        <f t="shared" si="5"/>
        <v>4383.9175000000005</v>
      </c>
    </row>
    <row r="95" spans="1:12" x14ac:dyDescent="0.2">
      <c r="A95" t="s">
        <v>428</v>
      </c>
      <c r="B95" s="1">
        <v>45765</v>
      </c>
      <c r="C95" t="s">
        <v>43</v>
      </c>
      <c r="D95" t="s">
        <v>15</v>
      </c>
      <c r="E95" t="s">
        <v>860</v>
      </c>
      <c r="F95">
        <v>327.06</v>
      </c>
      <c r="G95" s="2">
        <f t="shared" si="3"/>
        <v>327.06</v>
      </c>
      <c r="H95">
        <v>5</v>
      </c>
      <c r="I95" s="3">
        <v>0.15</v>
      </c>
      <c r="J95">
        <v>5</v>
      </c>
      <c r="K95">
        <f t="shared" si="4"/>
        <v>1635.3</v>
      </c>
      <c r="L95">
        <f t="shared" si="5"/>
        <v>1390.0049999999999</v>
      </c>
    </row>
    <row r="96" spans="1:12" x14ac:dyDescent="0.2">
      <c r="A96" t="s">
        <v>63</v>
      </c>
      <c r="B96" s="1">
        <v>45884</v>
      </c>
      <c r="C96" t="s">
        <v>14</v>
      </c>
      <c r="D96" t="s">
        <v>15</v>
      </c>
      <c r="E96" t="s">
        <v>22</v>
      </c>
      <c r="F96">
        <v>322.55</v>
      </c>
      <c r="G96" s="2">
        <f t="shared" si="3"/>
        <v>322.55</v>
      </c>
      <c r="H96">
        <v>2</v>
      </c>
      <c r="I96" s="3">
        <v>0.15</v>
      </c>
      <c r="J96">
        <v>5</v>
      </c>
      <c r="K96">
        <f t="shared" si="4"/>
        <v>645.1</v>
      </c>
      <c r="L96">
        <f t="shared" si="5"/>
        <v>548.33500000000004</v>
      </c>
    </row>
    <row r="97" spans="1:12" x14ac:dyDescent="0.2">
      <c r="A97" t="s">
        <v>686</v>
      </c>
      <c r="B97" s="1">
        <v>45744</v>
      </c>
      <c r="C97" t="s">
        <v>10</v>
      </c>
      <c r="D97" t="s">
        <v>11</v>
      </c>
      <c r="E97" t="s">
        <v>860</v>
      </c>
      <c r="F97">
        <v>848.76</v>
      </c>
      <c r="G97" s="2">
        <f t="shared" si="3"/>
        <v>848.76</v>
      </c>
      <c r="H97">
        <v>1</v>
      </c>
      <c r="I97" s="3">
        <v>0</v>
      </c>
      <c r="J97" t="s">
        <v>857</v>
      </c>
      <c r="K97">
        <f t="shared" si="4"/>
        <v>848.76</v>
      </c>
      <c r="L97">
        <f t="shared" si="5"/>
        <v>848.76</v>
      </c>
    </row>
    <row r="98" spans="1:12" x14ac:dyDescent="0.2">
      <c r="A98" t="s">
        <v>554</v>
      </c>
      <c r="B98" s="1">
        <v>45975</v>
      </c>
      <c r="C98" t="s">
        <v>856</v>
      </c>
      <c r="D98" t="s">
        <v>11</v>
      </c>
      <c r="E98" t="s">
        <v>30</v>
      </c>
      <c r="F98">
        <v>1271.07</v>
      </c>
      <c r="G98" s="2">
        <f t="shared" si="3"/>
        <v>1271.07</v>
      </c>
      <c r="H98">
        <v>3</v>
      </c>
      <c r="I98" s="3">
        <v>0</v>
      </c>
      <c r="J98">
        <v>4</v>
      </c>
      <c r="K98">
        <f t="shared" si="4"/>
        <v>3813.21</v>
      </c>
      <c r="L98">
        <f t="shared" si="5"/>
        <v>3813.21</v>
      </c>
    </row>
    <row r="99" spans="1:12" x14ac:dyDescent="0.2">
      <c r="A99" t="s">
        <v>283</v>
      </c>
      <c r="B99" s="1">
        <v>45773</v>
      </c>
      <c r="C99" t="s">
        <v>856</v>
      </c>
      <c r="D99" t="s">
        <v>11</v>
      </c>
      <c r="E99" t="s">
        <v>18</v>
      </c>
      <c r="F99">
        <v>1262.6500000000001</v>
      </c>
      <c r="G99" s="2">
        <f t="shared" si="3"/>
        <v>1262.6500000000001</v>
      </c>
      <c r="H99">
        <v>2</v>
      </c>
      <c r="I99" s="3">
        <v>0</v>
      </c>
      <c r="J99">
        <v>1</v>
      </c>
      <c r="K99">
        <f t="shared" si="4"/>
        <v>2525.3000000000002</v>
      </c>
      <c r="L99">
        <f t="shared" si="5"/>
        <v>2525.3000000000002</v>
      </c>
    </row>
    <row r="100" spans="1:12" x14ac:dyDescent="0.2">
      <c r="A100" t="s">
        <v>160</v>
      </c>
      <c r="B100" s="1">
        <v>45901</v>
      </c>
      <c r="C100" t="s">
        <v>34</v>
      </c>
      <c r="D100" t="s">
        <v>11</v>
      </c>
      <c r="E100" t="s">
        <v>30</v>
      </c>
      <c r="F100">
        <v>1201.23</v>
      </c>
      <c r="G100" s="2">
        <f t="shared" si="3"/>
        <v>1201.23</v>
      </c>
      <c r="H100">
        <v>1</v>
      </c>
      <c r="I100" s="3">
        <v>0.1</v>
      </c>
      <c r="J100">
        <v>5</v>
      </c>
      <c r="K100">
        <f t="shared" si="4"/>
        <v>1201.23</v>
      </c>
      <c r="L100">
        <f t="shared" si="5"/>
        <v>1081.107</v>
      </c>
    </row>
    <row r="101" spans="1:12" x14ac:dyDescent="0.2">
      <c r="A101" t="s">
        <v>219</v>
      </c>
      <c r="B101" s="1">
        <v>45952</v>
      </c>
      <c r="C101" t="s">
        <v>26</v>
      </c>
      <c r="D101" t="s">
        <v>27</v>
      </c>
      <c r="E101" t="s">
        <v>30</v>
      </c>
      <c r="F101">
        <v>571.85</v>
      </c>
      <c r="G101" s="2">
        <f t="shared" si="3"/>
        <v>571.85</v>
      </c>
      <c r="H101">
        <v>2</v>
      </c>
      <c r="I101" s="3">
        <v>0.2</v>
      </c>
      <c r="J101">
        <v>5</v>
      </c>
      <c r="K101">
        <f t="shared" si="4"/>
        <v>1143.7</v>
      </c>
      <c r="L101">
        <f t="shared" si="5"/>
        <v>914.96</v>
      </c>
    </row>
    <row r="102" spans="1:12" x14ac:dyDescent="0.2">
      <c r="A102" t="s">
        <v>742</v>
      </c>
      <c r="B102" s="1">
        <v>45782</v>
      </c>
      <c r="C102" t="s">
        <v>14</v>
      </c>
      <c r="D102" t="s">
        <v>15</v>
      </c>
      <c r="E102" t="s">
        <v>22</v>
      </c>
      <c r="F102">
        <v>250.92</v>
      </c>
      <c r="G102" s="2">
        <f t="shared" si="3"/>
        <v>250.92</v>
      </c>
      <c r="H102">
        <v>1</v>
      </c>
      <c r="I102" s="3">
        <v>0.2</v>
      </c>
      <c r="J102">
        <v>1</v>
      </c>
      <c r="K102">
        <f t="shared" si="4"/>
        <v>250.92</v>
      </c>
      <c r="L102">
        <f t="shared" si="5"/>
        <v>200.73599999999999</v>
      </c>
    </row>
    <row r="103" spans="1:12" x14ac:dyDescent="0.2">
      <c r="A103" t="s">
        <v>321</v>
      </c>
      <c r="B103" s="1">
        <v>45712</v>
      </c>
      <c r="C103" t="s">
        <v>26</v>
      </c>
      <c r="D103" t="s">
        <v>27</v>
      </c>
      <c r="E103" t="s">
        <v>18</v>
      </c>
      <c r="F103">
        <v>549.52</v>
      </c>
      <c r="G103" s="2">
        <f t="shared" si="3"/>
        <v>549.52</v>
      </c>
      <c r="H103">
        <v>5</v>
      </c>
      <c r="I103" s="3">
        <v>0</v>
      </c>
      <c r="J103">
        <v>3</v>
      </c>
      <c r="K103">
        <f t="shared" si="4"/>
        <v>2747.6</v>
      </c>
      <c r="L103">
        <f t="shared" si="5"/>
        <v>2747.6</v>
      </c>
    </row>
    <row r="104" spans="1:12" x14ac:dyDescent="0.2">
      <c r="A104" t="s">
        <v>594</v>
      </c>
      <c r="B104" s="1">
        <v>45923</v>
      </c>
      <c r="C104" t="s">
        <v>10</v>
      </c>
      <c r="D104" t="s">
        <v>11</v>
      </c>
      <c r="E104" t="s">
        <v>30</v>
      </c>
      <c r="F104">
        <v>1117.75</v>
      </c>
      <c r="G104" s="2">
        <f t="shared" si="3"/>
        <v>1117.75</v>
      </c>
      <c r="H104">
        <v>10</v>
      </c>
      <c r="I104" s="3">
        <v>0</v>
      </c>
      <c r="J104" t="s">
        <v>857</v>
      </c>
      <c r="K104">
        <f t="shared" si="4"/>
        <v>11177.5</v>
      </c>
      <c r="L104">
        <f t="shared" si="5"/>
        <v>11177.5</v>
      </c>
    </row>
    <row r="105" spans="1:12" x14ac:dyDescent="0.2">
      <c r="A105" t="s">
        <v>560</v>
      </c>
      <c r="B105" s="1">
        <v>45720</v>
      </c>
      <c r="C105" t="s">
        <v>32</v>
      </c>
      <c r="D105" t="s">
        <v>21</v>
      </c>
      <c r="E105" t="s">
        <v>18</v>
      </c>
      <c r="F105">
        <v>1511.18</v>
      </c>
      <c r="G105" s="2">
        <f t="shared" si="3"/>
        <v>1511.18</v>
      </c>
      <c r="H105">
        <v>10</v>
      </c>
      <c r="I105" s="3">
        <v>0</v>
      </c>
      <c r="J105">
        <v>5</v>
      </c>
      <c r="K105">
        <f t="shared" si="4"/>
        <v>15111.800000000001</v>
      </c>
      <c r="L105">
        <f t="shared" si="5"/>
        <v>15111.800000000001</v>
      </c>
    </row>
    <row r="106" spans="1:12" x14ac:dyDescent="0.2">
      <c r="A106" t="s">
        <v>586</v>
      </c>
      <c r="B106" s="1">
        <v>45944</v>
      </c>
      <c r="C106" t="s">
        <v>856</v>
      </c>
      <c r="D106" t="s">
        <v>11</v>
      </c>
      <c r="E106" t="s">
        <v>56</v>
      </c>
      <c r="F106">
        <v>1161.29</v>
      </c>
      <c r="G106" s="2">
        <f t="shared" si="3"/>
        <v>1161.29</v>
      </c>
      <c r="H106">
        <v>3</v>
      </c>
      <c r="I106" s="3">
        <v>0.1</v>
      </c>
      <c r="J106" t="s">
        <v>857</v>
      </c>
      <c r="K106">
        <f t="shared" si="4"/>
        <v>3483.87</v>
      </c>
      <c r="L106">
        <f t="shared" si="5"/>
        <v>3135.4830000000002</v>
      </c>
    </row>
    <row r="107" spans="1:12" x14ac:dyDescent="0.2">
      <c r="A107" t="s">
        <v>637</v>
      </c>
      <c r="B107" s="1">
        <v>45938</v>
      </c>
      <c r="C107" t="s">
        <v>54</v>
      </c>
      <c r="D107" t="s">
        <v>15</v>
      </c>
      <c r="E107" t="s">
        <v>18</v>
      </c>
      <c r="F107">
        <v>378.28</v>
      </c>
      <c r="G107" s="2">
        <f t="shared" si="3"/>
        <v>378.28</v>
      </c>
      <c r="H107">
        <v>10</v>
      </c>
      <c r="I107" s="3">
        <v>0</v>
      </c>
      <c r="J107">
        <v>5</v>
      </c>
      <c r="K107">
        <f t="shared" si="4"/>
        <v>3782.7999999999997</v>
      </c>
      <c r="L107">
        <f t="shared" si="5"/>
        <v>3782.7999999999997</v>
      </c>
    </row>
    <row r="108" spans="1:12" x14ac:dyDescent="0.2">
      <c r="A108" t="s">
        <v>732</v>
      </c>
      <c r="B108" s="1">
        <v>45784</v>
      </c>
      <c r="C108" t="s">
        <v>14</v>
      </c>
      <c r="D108" t="s">
        <v>15</v>
      </c>
      <c r="E108" t="s">
        <v>18</v>
      </c>
      <c r="F108">
        <v>482.03</v>
      </c>
      <c r="G108" s="2">
        <f t="shared" si="3"/>
        <v>482.03</v>
      </c>
      <c r="H108">
        <v>2</v>
      </c>
      <c r="I108" s="3">
        <v>0.15</v>
      </c>
      <c r="J108">
        <v>5</v>
      </c>
      <c r="K108">
        <f t="shared" si="4"/>
        <v>964.06</v>
      </c>
      <c r="L108">
        <f t="shared" si="5"/>
        <v>819.45099999999991</v>
      </c>
    </row>
    <row r="109" spans="1:12" x14ac:dyDescent="0.2">
      <c r="A109" t="s">
        <v>771</v>
      </c>
      <c r="B109" s="1">
        <v>45798</v>
      </c>
      <c r="C109" t="s">
        <v>856</v>
      </c>
      <c r="D109" t="s">
        <v>11</v>
      </c>
      <c r="E109" t="s">
        <v>30</v>
      </c>
      <c r="F109">
        <v>1241.9000000000001</v>
      </c>
      <c r="G109" s="2">
        <f t="shared" si="3"/>
        <v>1241.9000000000001</v>
      </c>
      <c r="H109">
        <v>10</v>
      </c>
      <c r="I109" s="3">
        <v>0</v>
      </c>
      <c r="J109">
        <v>4</v>
      </c>
      <c r="K109">
        <f t="shared" si="4"/>
        <v>12419</v>
      </c>
      <c r="L109">
        <f t="shared" si="5"/>
        <v>12419</v>
      </c>
    </row>
    <row r="110" spans="1:12" x14ac:dyDescent="0.2">
      <c r="A110" t="s">
        <v>86</v>
      </c>
      <c r="B110" s="1">
        <v>45829</v>
      </c>
      <c r="C110" t="s">
        <v>32</v>
      </c>
      <c r="D110" t="s">
        <v>21</v>
      </c>
      <c r="E110" t="s">
        <v>18</v>
      </c>
      <c r="F110">
        <v>1892.72</v>
      </c>
      <c r="G110" s="2">
        <f t="shared" si="3"/>
        <v>1892.72</v>
      </c>
      <c r="H110">
        <v>3</v>
      </c>
      <c r="I110" s="3">
        <v>0.15</v>
      </c>
      <c r="J110">
        <v>2</v>
      </c>
      <c r="K110">
        <f t="shared" si="4"/>
        <v>5678.16</v>
      </c>
      <c r="L110">
        <f t="shared" si="5"/>
        <v>4826.4359999999997</v>
      </c>
    </row>
    <row r="111" spans="1:12" x14ac:dyDescent="0.2">
      <c r="A111" t="s">
        <v>209</v>
      </c>
      <c r="B111" s="1">
        <v>45776</v>
      </c>
      <c r="C111" t="s">
        <v>32</v>
      </c>
      <c r="D111" t="s">
        <v>21</v>
      </c>
      <c r="E111" t="s">
        <v>30</v>
      </c>
      <c r="F111">
        <v>1773.2</v>
      </c>
      <c r="G111" s="2">
        <f t="shared" si="3"/>
        <v>1773.2</v>
      </c>
      <c r="H111">
        <v>5</v>
      </c>
      <c r="I111" s="3">
        <v>0.2</v>
      </c>
      <c r="J111">
        <v>3</v>
      </c>
      <c r="K111">
        <f t="shared" si="4"/>
        <v>8866</v>
      </c>
      <c r="L111">
        <f t="shared" si="5"/>
        <v>7092.8</v>
      </c>
    </row>
    <row r="112" spans="1:12" x14ac:dyDescent="0.2">
      <c r="A112" t="s">
        <v>28</v>
      </c>
      <c r="B112" s="1">
        <v>45690</v>
      </c>
      <c r="C112" t="s">
        <v>29</v>
      </c>
      <c r="D112" t="s">
        <v>15</v>
      </c>
      <c r="E112" t="s">
        <v>30</v>
      </c>
      <c r="F112">
        <v>215.69</v>
      </c>
      <c r="G112" s="2">
        <f t="shared" si="3"/>
        <v>215.69</v>
      </c>
      <c r="H112">
        <v>5</v>
      </c>
      <c r="I112" s="3">
        <v>0.1</v>
      </c>
      <c r="J112">
        <v>5</v>
      </c>
      <c r="K112">
        <f t="shared" si="4"/>
        <v>1078.45</v>
      </c>
      <c r="L112">
        <f t="shared" si="5"/>
        <v>970.60500000000002</v>
      </c>
    </row>
    <row r="113" spans="1:12" x14ac:dyDescent="0.2">
      <c r="A113" t="s">
        <v>246</v>
      </c>
      <c r="B113" s="1">
        <v>45870</v>
      </c>
      <c r="C113" t="s">
        <v>17</v>
      </c>
      <c r="D113" t="s">
        <v>11</v>
      </c>
      <c r="E113" t="s">
        <v>22</v>
      </c>
      <c r="F113">
        <v>1193.6400000000001</v>
      </c>
      <c r="G113" s="2">
        <f t="shared" si="3"/>
        <v>1193.6400000000001</v>
      </c>
      <c r="H113">
        <v>1</v>
      </c>
      <c r="I113" s="3">
        <v>0</v>
      </c>
      <c r="J113">
        <v>5</v>
      </c>
      <c r="K113">
        <f t="shared" si="4"/>
        <v>1193.6400000000001</v>
      </c>
      <c r="L113">
        <f t="shared" si="5"/>
        <v>1193.6400000000001</v>
      </c>
    </row>
    <row r="114" spans="1:12" x14ac:dyDescent="0.2">
      <c r="A114" t="s">
        <v>823</v>
      </c>
      <c r="B114" s="1">
        <v>45957</v>
      </c>
      <c r="C114" t="s">
        <v>54</v>
      </c>
      <c r="D114" t="s">
        <v>15</v>
      </c>
      <c r="E114" t="s">
        <v>18</v>
      </c>
      <c r="F114">
        <v>354.22</v>
      </c>
      <c r="G114" s="2">
        <f t="shared" si="3"/>
        <v>354.22</v>
      </c>
      <c r="H114">
        <v>1</v>
      </c>
      <c r="I114" s="3">
        <v>0.15</v>
      </c>
      <c r="J114">
        <v>5</v>
      </c>
      <c r="K114">
        <f t="shared" si="4"/>
        <v>354.22</v>
      </c>
      <c r="L114">
        <f t="shared" si="5"/>
        <v>301.08699999999999</v>
      </c>
    </row>
    <row r="115" spans="1:12" x14ac:dyDescent="0.2">
      <c r="A115" t="s">
        <v>466</v>
      </c>
      <c r="B115" s="1">
        <v>45838</v>
      </c>
      <c r="C115" t="s">
        <v>14</v>
      </c>
      <c r="D115" t="s">
        <v>15</v>
      </c>
      <c r="E115" t="s">
        <v>56</v>
      </c>
      <c r="F115">
        <v>522.42999999999995</v>
      </c>
      <c r="G115" s="2">
        <f t="shared" si="3"/>
        <v>522.42999999999995</v>
      </c>
      <c r="H115">
        <v>2</v>
      </c>
      <c r="I115" s="3">
        <v>0.1</v>
      </c>
      <c r="J115">
        <v>5</v>
      </c>
      <c r="K115">
        <f t="shared" si="4"/>
        <v>1044.8599999999999</v>
      </c>
      <c r="L115">
        <f t="shared" si="5"/>
        <v>940.37399999999991</v>
      </c>
    </row>
    <row r="116" spans="1:12" x14ac:dyDescent="0.2">
      <c r="A116" t="s">
        <v>455</v>
      </c>
      <c r="B116" s="1">
        <v>45937</v>
      </c>
      <c r="C116" t="s">
        <v>17</v>
      </c>
      <c r="D116" t="s">
        <v>11</v>
      </c>
      <c r="E116" t="s">
        <v>30</v>
      </c>
      <c r="F116">
        <v>1153.83</v>
      </c>
      <c r="G116" s="2">
        <f t="shared" si="3"/>
        <v>1153.83</v>
      </c>
      <c r="H116">
        <v>2</v>
      </c>
      <c r="I116" s="3">
        <v>0.1</v>
      </c>
      <c r="J116">
        <v>4</v>
      </c>
      <c r="K116">
        <f t="shared" si="4"/>
        <v>2307.66</v>
      </c>
      <c r="L116">
        <f t="shared" si="5"/>
        <v>2076.8939999999998</v>
      </c>
    </row>
    <row r="117" spans="1:12" x14ac:dyDescent="0.2">
      <c r="A117" t="s">
        <v>258</v>
      </c>
      <c r="B117" s="1">
        <v>45906</v>
      </c>
      <c r="C117" t="s">
        <v>43</v>
      </c>
      <c r="D117" t="s">
        <v>15</v>
      </c>
      <c r="E117" t="s">
        <v>22</v>
      </c>
      <c r="F117">
        <v>371.11</v>
      </c>
      <c r="G117" s="2">
        <f t="shared" si="3"/>
        <v>371.11</v>
      </c>
      <c r="H117">
        <v>1</v>
      </c>
      <c r="I117" s="3">
        <v>0.1</v>
      </c>
      <c r="J117">
        <v>5</v>
      </c>
      <c r="K117">
        <f t="shared" si="4"/>
        <v>371.11</v>
      </c>
      <c r="L117">
        <f t="shared" si="5"/>
        <v>333.99900000000002</v>
      </c>
    </row>
    <row r="118" spans="1:12" x14ac:dyDescent="0.2">
      <c r="A118" t="s">
        <v>339</v>
      </c>
      <c r="B118" s="1">
        <v>45865</v>
      </c>
      <c r="C118" t="s">
        <v>856</v>
      </c>
      <c r="D118" t="s">
        <v>11</v>
      </c>
      <c r="E118" t="s">
        <v>30</v>
      </c>
      <c r="F118">
        <v>1191.67</v>
      </c>
      <c r="G118" s="2">
        <f t="shared" si="3"/>
        <v>1191.67</v>
      </c>
      <c r="H118">
        <v>1</v>
      </c>
      <c r="I118" s="3">
        <v>0.1</v>
      </c>
      <c r="J118">
        <v>3</v>
      </c>
      <c r="K118">
        <f t="shared" si="4"/>
        <v>1191.67</v>
      </c>
      <c r="L118">
        <f t="shared" si="5"/>
        <v>1072.5030000000002</v>
      </c>
    </row>
    <row r="119" spans="1:12" x14ac:dyDescent="0.2">
      <c r="A119" t="s">
        <v>337</v>
      </c>
      <c r="B119" s="1">
        <v>45671</v>
      </c>
      <c r="C119" t="s">
        <v>856</v>
      </c>
      <c r="D119" t="s">
        <v>11</v>
      </c>
      <c r="E119" t="s">
        <v>56</v>
      </c>
      <c r="F119">
        <v>919.52</v>
      </c>
      <c r="G119" s="2">
        <f t="shared" si="3"/>
        <v>919.52</v>
      </c>
      <c r="H119">
        <v>5</v>
      </c>
      <c r="I119" s="3">
        <v>0.15</v>
      </c>
      <c r="J119">
        <v>1</v>
      </c>
      <c r="K119">
        <f t="shared" si="4"/>
        <v>4597.6000000000004</v>
      </c>
      <c r="L119">
        <f t="shared" si="5"/>
        <v>3907.96</v>
      </c>
    </row>
    <row r="120" spans="1:12" x14ac:dyDescent="0.2">
      <c r="A120" t="s">
        <v>442</v>
      </c>
      <c r="B120" s="1">
        <v>45877</v>
      </c>
      <c r="C120" t="s">
        <v>34</v>
      </c>
      <c r="D120" t="s">
        <v>11</v>
      </c>
      <c r="E120" t="s">
        <v>30</v>
      </c>
      <c r="F120">
        <v>1474.28</v>
      </c>
      <c r="G120" s="2">
        <f t="shared" si="3"/>
        <v>1474.28</v>
      </c>
      <c r="H120">
        <v>1</v>
      </c>
      <c r="I120" s="3">
        <v>0.1</v>
      </c>
      <c r="J120">
        <v>3</v>
      </c>
      <c r="K120">
        <f t="shared" si="4"/>
        <v>1474.28</v>
      </c>
      <c r="L120">
        <f t="shared" si="5"/>
        <v>1326.8520000000001</v>
      </c>
    </row>
    <row r="121" spans="1:12" x14ac:dyDescent="0.2">
      <c r="A121" t="s">
        <v>443</v>
      </c>
      <c r="B121" s="1">
        <v>45852</v>
      </c>
      <c r="C121" t="s">
        <v>34</v>
      </c>
      <c r="D121" t="s">
        <v>11</v>
      </c>
      <c r="E121" t="s">
        <v>18</v>
      </c>
      <c r="F121">
        <v>1380.46</v>
      </c>
      <c r="G121" s="2">
        <f t="shared" si="3"/>
        <v>1380.46</v>
      </c>
      <c r="H121">
        <v>3</v>
      </c>
      <c r="I121" s="3">
        <v>0</v>
      </c>
      <c r="J121">
        <v>5</v>
      </c>
      <c r="K121">
        <f t="shared" si="4"/>
        <v>4141.38</v>
      </c>
      <c r="L121">
        <f t="shared" si="5"/>
        <v>4141.38</v>
      </c>
    </row>
    <row r="122" spans="1:12" x14ac:dyDescent="0.2">
      <c r="A122" t="s">
        <v>312</v>
      </c>
      <c r="B122" s="1">
        <v>45852</v>
      </c>
      <c r="C122" t="s">
        <v>43</v>
      </c>
      <c r="D122" t="s">
        <v>15</v>
      </c>
      <c r="E122" t="s">
        <v>18</v>
      </c>
      <c r="F122">
        <v>405.37</v>
      </c>
      <c r="G122" s="2">
        <f t="shared" si="3"/>
        <v>405.37</v>
      </c>
      <c r="H122">
        <v>2</v>
      </c>
      <c r="I122" s="3">
        <v>0.1</v>
      </c>
      <c r="J122">
        <v>4</v>
      </c>
      <c r="K122">
        <f t="shared" si="4"/>
        <v>810.74</v>
      </c>
      <c r="L122">
        <f t="shared" si="5"/>
        <v>729.66600000000005</v>
      </c>
    </row>
    <row r="123" spans="1:12" x14ac:dyDescent="0.2">
      <c r="A123" t="s">
        <v>605</v>
      </c>
      <c r="B123" s="1">
        <v>45898</v>
      </c>
      <c r="C123" t="s">
        <v>10</v>
      </c>
      <c r="D123" t="s">
        <v>11</v>
      </c>
      <c r="E123" t="s">
        <v>56</v>
      </c>
      <c r="F123">
        <v>981.75</v>
      </c>
      <c r="G123" s="2">
        <f t="shared" si="3"/>
        <v>981.75</v>
      </c>
      <c r="H123">
        <v>1</v>
      </c>
      <c r="I123" s="3">
        <v>0.2</v>
      </c>
      <c r="J123" t="s">
        <v>857</v>
      </c>
      <c r="K123">
        <f t="shared" si="4"/>
        <v>981.75</v>
      </c>
      <c r="L123">
        <f t="shared" si="5"/>
        <v>785.40000000000009</v>
      </c>
    </row>
    <row r="124" spans="1:12" x14ac:dyDescent="0.2">
      <c r="A124" t="s">
        <v>400</v>
      </c>
      <c r="B124" s="1">
        <v>45772</v>
      </c>
      <c r="C124" t="s">
        <v>34</v>
      </c>
      <c r="D124" t="s">
        <v>11</v>
      </c>
      <c r="E124" t="s">
        <v>860</v>
      </c>
      <c r="F124">
        <v>1536.67</v>
      </c>
      <c r="G124" s="2">
        <f t="shared" si="3"/>
        <v>1536.67</v>
      </c>
      <c r="H124">
        <v>1</v>
      </c>
      <c r="I124" s="3">
        <v>0.2</v>
      </c>
      <c r="J124">
        <v>1</v>
      </c>
      <c r="K124">
        <f t="shared" si="4"/>
        <v>1536.67</v>
      </c>
      <c r="L124">
        <f t="shared" si="5"/>
        <v>1229.3360000000002</v>
      </c>
    </row>
    <row r="125" spans="1:12" x14ac:dyDescent="0.2">
      <c r="A125" t="s">
        <v>786</v>
      </c>
      <c r="B125" s="1">
        <v>45784</v>
      </c>
      <c r="C125" t="s">
        <v>10</v>
      </c>
      <c r="D125" t="s">
        <v>11</v>
      </c>
      <c r="E125" t="s">
        <v>56</v>
      </c>
      <c r="F125">
        <v>863.56</v>
      </c>
      <c r="G125" s="2">
        <f t="shared" si="3"/>
        <v>863.56</v>
      </c>
      <c r="H125">
        <v>2</v>
      </c>
      <c r="I125" s="3">
        <v>0</v>
      </c>
      <c r="J125">
        <v>3</v>
      </c>
      <c r="K125">
        <f t="shared" si="4"/>
        <v>1727.12</v>
      </c>
      <c r="L125">
        <f t="shared" si="5"/>
        <v>1727.12</v>
      </c>
    </row>
    <row r="126" spans="1:12" x14ac:dyDescent="0.2">
      <c r="A126" t="s">
        <v>555</v>
      </c>
      <c r="B126" s="1">
        <v>45900</v>
      </c>
      <c r="C126" t="s">
        <v>32</v>
      </c>
      <c r="D126" t="s">
        <v>21</v>
      </c>
      <c r="E126" t="s">
        <v>30</v>
      </c>
      <c r="F126">
        <v>2011.27</v>
      </c>
      <c r="G126" s="2">
        <f t="shared" si="3"/>
        <v>2011.27</v>
      </c>
      <c r="H126">
        <v>1</v>
      </c>
      <c r="I126" s="3">
        <v>0.15</v>
      </c>
      <c r="J126">
        <v>4</v>
      </c>
      <c r="K126">
        <f t="shared" si="4"/>
        <v>2011.27</v>
      </c>
      <c r="L126">
        <f t="shared" si="5"/>
        <v>1709.5795000000001</v>
      </c>
    </row>
    <row r="127" spans="1:12" x14ac:dyDescent="0.2">
      <c r="A127" t="s">
        <v>147</v>
      </c>
      <c r="B127" s="1">
        <v>45789</v>
      </c>
      <c r="C127" t="s">
        <v>14</v>
      </c>
      <c r="D127" t="s">
        <v>15</v>
      </c>
      <c r="E127" t="s">
        <v>30</v>
      </c>
      <c r="F127">
        <v>503.33</v>
      </c>
      <c r="G127" s="2">
        <f t="shared" si="3"/>
        <v>503.33</v>
      </c>
      <c r="H127">
        <v>3</v>
      </c>
      <c r="I127" s="3">
        <v>0</v>
      </c>
      <c r="J127">
        <v>2</v>
      </c>
      <c r="K127">
        <f t="shared" si="4"/>
        <v>1509.99</v>
      </c>
      <c r="L127">
        <f t="shared" si="5"/>
        <v>1509.99</v>
      </c>
    </row>
    <row r="128" spans="1:12" x14ac:dyDescent="0.2">
      <c r="A128" t="s">
        <v>566</v>
      </c>
      <c r="B128" s="1">
        <v>45741</v>
      </c>
      <c r="C128" t="s">
        <v>10</v>
      </c>
      <c r="D128" t="s">
        <v>11</v>
      </c>
      <c r="E128" t="s">
        <v>18</v>
      </c>
      <c r="F128">
        <v>962.27</v>
      </c>
      <c r="G128" s="2">
        <f t="shared" si="3"/>
        <v>962.27</v>
      </c>
      <c r="H128">
        <v>2</v>
      </c>
      <c r="I128" s="3">
        <v>0</v>
      </c>
      <c r="J128">
        <v>1</v>
      </c>
      <c r="K128">
        <f t="shared" si="4"/>
        <v>1924.54</v>
      </c>
      <c r="L128">
        <f t="shared" si="5"/>
        <v>1924.54</v>
      </c>
    </row>
    <row r="129" spans="1:12" x14ac:dyDescent="0.2">
      <c r="A129" t="s">
        <v>108</v>
      </c>
      <c r="B129" s="1">
        <v>45952</v>
      </c>
      <c r="C129" t="s">
        <v>26</v>
      </c>
      <c r="D129" t="s">
        <v>27</v>
      </c>
      <c r="E129" t="s">
        <v>18</v>
      </c>
      <c r="F129">
        <v>532.04</v>
      </c>
      <c r="G129" s="2">
        <f t="shared" si="3"/>
        <v>532.04</v>
      </c>
      <c r="H129">
        <v>5</v>
      </c>
      <c r="I129" s="3">
        <v>0.1</v>
      </c>
      <c r="J129">
        <v>4</v>
      </c>
      <c r="K129">
        <f t="shared" si="4"/>
        <v>2660.2</v>
      </c>
      <c r="L129">
        <f t="shared" si="5"/>
        <v>2394.1799999999998</v>
      </c>
    </row>
    <row r="130" spans="1:12" x14ac:dyDescent="0.2">
      <c r="A130" t="s">
        <v>207</v>
      </c>
      <c r="B130" s="1">
        <v>46011</v>
      </c>
      <c r="C130" t="s">
        <v>34</v>
      </c>
      <c r="D130" t="s">
        <v>11</v>
      </c>
      <c r="E130" t="s">
        <v>56</v>
      </c>
      <c r="F130">
        <v>1223.92</v>
      </c>
      <c r="G130" s="2">
        <f t="shared" ref="G130:G193" si="6">IF(F130="", AVERAGEIF(C:C, C130, F:F), F130)</f>
        <v>1223.92</v>
      </c>
      <c r="H130">
        <v>2</v>
      </c>
      <c r="I130" s="3">
        <v>0</v>
      </c>
      <c r="J130">
        <v>4</v>
      </c>
      <c r="K130">
        <f t="shared" si="4"/>
        <v>2447.84</v>
      </c>
      <c r="L130">
        <f t="shared" si="5"/>
        <v>2447.84</v>
      </c>
    </row>
    <row r="131" spans="1:12" x14ac:dyDescent="0.2">
      <c r="A131" t="s">
        <v>550</v>
      </c>
      <c r="B131" s="1">
        <v>45965</v>
      </c>
      <c r="C131" t="s">
        <v>10</v>
      </c>
      <c r="D131" t="s">
        <v>11</v>
      </c>
      <c r="E131" t="s">
        <v>30</v>
      </c>
      <c r="F131">
        <v>1079.17</v>
      </c>
      <c r="G131" s="2">
        <f t="shared" si="6"/>
        <v>1079.17</v>
      </c>
      <c r="H131">
        <v>1</v>
      </c>
      <c r="I131" s="3">
        <v>0.15</v>
      </c>
      <c r="J131">
        <v>1</v>
      </c>
      <c r="K131">
        <f t="shared" ref="K131:K194" si="7">G131*H131</f>
        <v>1079.17</v>
      </c>
      <c r="L131">
        <f t="shared" ref="L131:L194" si="8">G131*H131*(1-I131)</f>
        <v>917.29450000000008</v>
      </c>
    </row>
    <row r="132" spans="1:12" x14ac:dyDescent="0.2">
      <c r="A132" t="s">
        <v>755</v>
      </c>
      <c r="B132" s="1">
        <v>45664</v>
      </c>
      <c r="C132" t="s">
        <v>856</v>
      </c>
      <c r="D132" t="s">
        <v>11</v>
      </c>
      <c r="E132" t="s">
        <v>18</v>
      </c>
      <c r="F132">
        <v>1216.46</v>
      </c>
      <c r="G132" s="2">
        <f t="shared" si="6"/>
        <v>1216.46</v>
      </c>
      <c r="H132">
        <v>5</v>
      </c>
      <c r="I132" s="3">
        <v>0.1</v>
      </c>
      <c r="J132">
        <v>2</v>
      </c>
      <c r="K132">
        <f t="shared" si="7"/>
        <v>6082.3</v>
      </c>
      <c r="L132">
        <f t="shared" si="8"/>
        <v>5474.0700000000006</v>
      </c>
    </row>
    <row r="133" spans="1:12" x14ac:dyDescent="0.2">
      <c r="A133" t="s">
        <v>256</v>
      </c>
      <c r="B133" s="1">
        <v>45983</v>
      </c>
      <c r="C133" t="s">
        <v>54</v>
      </c>
      <c r="D133" t="s">
        <v>15</v>
      </c>
      <c r="E133" t="s">
        <v>18</v>
      </c>
      <c r="F133">
        <v>275.64</v>
      </c>
      <c r="G133" s="2">
        <f t="shared" si="6"/>
        <v>275.64</v>
      </c>
      <c r="H133">
        <v>10</v>
      </c>
      <c r="I133" s="3">
        <v>0.2</v>
      </c>
      <c r="J133">
        <v>3</v>
      </c>
      <c r="K133">
        <f t="shared" si="7"/>
        <v>2756.3999999999996</v>
      </c>
      <c r="L133">
        <f t="shared" si="8"/>
        <v>2205.12</v>
      </c>
    </row>
    <row r="134" spans="1:12" x14ac:dyDescent="0.2">
      <c r="A134" t="s">
        <v>393</v>
      </c>
      <c r="B134" s="1">
        <v>45925</v>
      </c>
      <c r="C134" t="s">
        <v>54</v>
      </c>
      <c r="D134" t="s">
        <v>15</v>
      </c>
      <c r="E134" t="s">
        <v>30</v>
      </c>
      <c r="F134">
        <v>383.15</v>
      </c>
      <c r="G134" s="2">
        <f t="shared" si="6"/>
        <v>383.15</v>
      </c>
      <c r="H134">
        <v>2</v>
      </c>
      <c r="I134" s="3">
        <v>0.15</v>
      </c>
      <c r="J134" t="s">
        <v>857</v>
      </c>
      <c r="K134">
        <f t="shared" si="7"/>
        <v>766.3</v>
      </c>
      <c r="L134">
        <f t="shared" si="8"/>
        <v>651.3549999999999</v>
      </c>
    </row>
    <row r="135" spans="1:12" x14ac:dyDescent="0.2">
      <c r="A135" t="s">
        <v>106</v>
      </c>
      <c r="B135" s="1">
        <v>45896</v>
      </c>
      <c r="C135" t="s">
        <v>10</v>
      </c>
      <c r="D135" t="s">
        <v>11</v>
      </c>
      <c r="E135" t="s">
        <v>22</v>
      </c>
      <c r="F135">
        <v>979.34</v>
      </c>
      <c r="G135" s="2">
        <f t="shared" si="6"/>
        <v>979.34</v>
      </c>
      <c r="H135">
        <v>5</v>
      </c>
      <c r="I135" s="3">
        <v>0.2</v>
      </c>
      <c r="J135">
        <v>4</v>
      </c>
      <c r="K135">
        <f t="shared" si="7"/>
        <v>4896.7</v>
      </c>
      <c r="L135">
        <f t="shared" si="8"/>
        <v>3917.36</v>
      </c>
    </row>
    <row r="136" spans="1:12" x14ac:dyDescent="0.2">
      <c r="A136" t="s">
        <v>477</v>
      </c>
      <c r="B136" s="1">
        <v>45783</v>
      </c>
      <c r="C136" t="s">
        <v>43</v>
      </c>
      <c r="D136" t="s">
        <v>15</v>
      </c>
      <c r="E136" t="s">
        <v>18</v>
      </c>
      <c r="F136">
        <v>458.5</v>
      </c>
      <c r="G136" s="2">
        <f t="shared" si="6"/>
        <v>458.5</v>
      </c>
      <c r="H136">
        <v>1</v>
      </c>
      <c r="I136" s="3">
        <v>0</v>
      </c>
      <c r="J136">
        <v>5</v>
      </c>
      <c r="K136">
        <f t="shared" si="7"/>
        <v>458.5</v>
      </c>
      <c r="L136">
        <f t="shared" si="8"/>
        <v>458.5</v>
      </c>
    </row>
    <row r="137" spans="1:12" x14ac:dyDescent="0.2">
      <c r="A137" t="s">
        <v>538</v>
      </c>
      <c r="B137" s="1">
        <v>45895</v>
      </c>
      <c r="C137" t="s">
        <v>32</v>
      </c>
      <c r="D137" t="s">
        <v>21</v>
      </c>
      <c r="E137" t="s">
        <v>18</v>
      </c>
      <c r="G137" s="2">
        <f t="shared" si="6"/>
        <v>1804.6623913043472</v>
      </c>
      <c r="H137">
        <v>5</v>
      </c>
      <c r="I137" s="3">
        <v>0</v>
      </c>
      <c r="J137">
        <v>1</v>
      </c>
      <c r="K137">
        <f t="shared" si="7"/>
        <v>9023.3119565217366</v>
      </c>
      <c r="L137">
        <f t="shared" si="8"/>
        <v>9023.3119565217366</v>
      </c>
    </row>
    <row r="138" spans="1:12" x14ac:dyDescent="0.2">
      <c r="A138" t="s">
        <v>813</v>
      </c>
      <c r="B138" s="1">
        <v>45824</v>
      </c>
      <c r="C138" t="s">
        <v>14</v>
      </c>
      <c r="D138" t="s">
        <v>15</v>
      </c>
      <c r="E138" t="s">
        <v>18</v>
      </c>
      <c r="F138">
        <v>327.45999999999998</v>
      </c>
      <c r="G138" s="2">
        <f t="shared" si="6"/>
        <v>327.45999999999998</v>
      </c>
      <c r="H138">
        <v>1</v>
      </c>
      <c r="I138" s="3">
        <v>0.1</v>
      </c>
      <c r="J138">
        <v>4</v>
      </c>
      <c r="K138">
        <f t="shared" si="7"/>
        <v>327.45999999999998</v>
      </c>
      <c r="L138">
        <f t="shared" si="8"/>
        <v>294.714</v>
      </c>
    </row>
    <row r="139" spans="1:12" x14ac:dyDescent="0.2">
      <c r="A139" t="s">
        <v>135</v>
      </c>
      <c r="B139" s="1">
        <v>45790</v>
      </c>
      <c r="C139" t="s">
        <v>43</v>
      </c>
      <c r="D139" t="s">
        <v>15</v>
      </c>
      <c r="E139" t="s">
        <v>18</v>
      </c>
      <c r="F139">
        <v>406.95</v>
      </c>
      <c r="G139" s="2">
        <f t="shared" si="6"/>
        <v>406.95</v>
      </c>
      <c r="H139">
        <v>3</v>
      </c>
      <c r="I139" s="3">
        <v>0</v>
      </c>
      <c r="J139">
        <v>4</v>
      </c>
      <c r="K139">
        <f t="shared" si="7"/>
        <v>1220.8499999999999</v>
      </c>
      <c r="L139">
        <f t="shared" si="8"/>
        <v>1220.8499999999999</v>
      </c>
    </row>
    <row r="140" spans="1:12" x14ac:dyDescent="0.2">
      <c r="A140" t="s">
        <v>570</v>
      </c>
      <c r="B140" s="1">
        <v>45922</v>
      </c>
      <c r="C140" t="s">
        <v>17</v>
      </c>
      <c r="D140" t="s">
        <v>11</v>
      </c>
      <c r="E140" t="s">
        <v>56</v>
      </c>
      <c r="F140">
        <v>904.59</v>
      </c>
      <c r="G140" s="2">
        <f t="shared" si="6"/>
        <v>904.59</v>
      </c>
      <c r="H140">
        <v>2</v>
      </c>
      <c r="I140" s="3">
        <v>0</v>
      </c>
      <c r="J140">
        <v>4</v>
      </c>
      <c r="K140">
        <f t="shared" si="7"/>
        <v>1809.18</v>
      </c>
      <c r="L140">
        <f t="shared" si="8"/>
        <v>1809.18</v>
      </c>
    </row>
    <row r="141" spans="1:12" x14ac:dyDescent="0.2">
      <c r="A141" t="s">
        <v>114</v>
      </c>
      <c r="B141" s="1">
        <v>45908</v>
      </c>
      <c r="C141" t="s">
        <v>29</v>
      </c>
      <c r="D141" t="s">
        <v>15</v>
      </c>
      <c r="E141" t="s">
        <v>860</v>
      </c>
      <c r="F141">
        <v>365.92</v>
      </c>
      <c r="G141" s="2">
        <f t="shared" si="6"/>
        <v>365.92</v>
      </c>
      <c r="H141">
        <v>2</v>
      </c>
      <c r="I141" s="3">
        <v>0.2</v>
      </c>
      <c r="J141">
        <v>5</v>
      </c>
      <c r="K141">
        <f t="shared" si="7"/>
        <v>731.84</v>
      </c>
      <c r="L141">
        <f t="shared" si="8"/>
        <v>585.47200000000009</v>
      </c>
    </row>
    <row r="142" spans="1:12" x14ac:dyDescent="0.2">
      <c r="A142" t="s">
        <v>307</v>
      </c>
      <c r="B142" s="1">
        <v>45909</v>
      </c>
      <c r="C142" t="s">
        <v>856</v>
      </c>
      <c r="D142" t="s">
        <v>11</v>
      </c>
      <c r="E142" t="s">
        <v>30</v>
      </c>
      <c r="F142">
        <v>1513.71</v>
      </c>
      <c r="G142" s="2">
        <f t="shared" si="6"/>
        <v>1513.71</v>
      </c>
      <c r="H142">
        <v>10</v>
      </c>
      <c r="I142" s="3">
        <v>0</v>
      </c>
      <c r="J142">
        <v>2</v>
      </c>
      <c r="K142">
        <f t="shared" si="7"/>
        <v>15137.1</v>
      </c>
      <c r="L142">
        <f t="shared" si="8"/>
        <v>15137.1</v>
      </c>
    </row>
    <row r="143" spans="1:12" x14ac:dyDescent="0.2">
      <c r="A143" t="s">
        <v>81</v>
      </c>
      <c r="B143" s="1">
        <v>45865</v>
      </c>
      <c r="C143" t="s">
        <v>43</v>
      </c>
      <c r="D143" t="s">
        <v>15</v>
      </c>
      <c r="E143" t="s">
        <v>30</v>
      </c>
      <c r="F143">
        <v>237.48</v>
      </c>
      <c r="G143" s="2">
        <f t="shared" si="6"/>
        <v>237.48</v>
      </c>
      <c r="H143">
        <v>2</v>
      </c>
      <c r="I143" s="3">
        <v>0</v>
      </c>
      <c r="J143">
        <v>5</v>
      </c>
      <c r="K143">
        <f t="shared" si="7"/>
        <v>474.96</v>
      </c>
      <c r="L143">
        <f t="shared" si="8"/>
        <v>474.96</v>
      </c>
    </row>
    <row r="144" spans="1:12" x14ac:dyDescent="0.2">
      <c r="A144" t="s">
        <v>660</v>
      </c>
      <c r="B144" s="1">
        <v>45929</v>
      </c>
      <c r="C144" t="s">
        <v>14</v>
      </c>
      <c r="D144" t="s">
        <v>15</v>
      </c>
      <c r="E144" t="s">
        <v>56</v>
      </c>
      <c r="F144">
        <v>362.92</v>
      </c>
      <c r="G144" s="2">
        <f t="shared" si="6"/>
        <v>362.92</v>
      </c>
      <c r="H144">
        <v>3</v>
      </c>
      <c r="I144" s="3">
        <v>0.1</v>
      </c>
      <c r="J144" t="s">
        <v>857</v>
      </c>
      <c r="K144">
        <f t="shared" si="7"/>
        <v>1088.76</v>
      </c>
      <c r="L144">
        <f t="shared" si="8"/>
        <v>979.88400000000001</v>
      </c>
    </row>
    <row r="145" spans="1:12" x14ac:dyDescent="0.2">
      <c r="A145" t="s">
        <v>650</v>
      </c>
      <c r="B145" s="1">
        <v>46017</v>
      </c>
      <c r="C145" t="s">
        <v>43</v>
      </c>
      <c r="D145" t="s">
        <v>15</v>
      </c>
      <c r="E145" t="s">
        <v>860</v>
      </c>
      <c r="F145">
        <v>368.19</v>
      </c>
      <c r="G145" s="2">
        <f t="shared" si="6"/>
        <v>368.19</v>
      </c>
      <c r="H145">
        <v>10</v>
      </c>
      <c r="I145" s="3">
        <v>0</v>
      </c>
      <c r="J145">
        <v>4</v>
      </c>
      <c r="K145">
        <f t="shared" si="7"/>
        <v>3681.9</v>
      </c>
      <c r="L145">
        <f t="shared" si="8"/>
        <v>3681.9</v>
      </c>
    </row>
    <row r="146" spans="1:12" x14ac:dyDescent="0.2">
      <c r="A146" t="s">
        <v>419</v>
      </c>
      <c r="B146" s="1">
        <v>45719</v>
      </c>
      <c r="C146" t="s">
        <v>43</v>
      </c>
      <c r="D146" t="s">
        <v>15</v>
      </c>
      <c r="E146" t="s">
        <v>30</v>
      </c>
      <c r="F146">
        <v>404.73</v>
      </c>
      <c r="G146" s="2">
        <f t="shared" si="6"/>
        <v>404.73</v>
      </c>
      <c r="H146">
        <v>2</v>
      </c>
      <c r="I146" s="3">
        <v>0</v>
      </c>
      <c r="J146">
        <v>2</v>
      </c>
      <c r="K146">
        <f t="shared" si="7"/>
        <v>809.46</v>
      </c>
      <c r="L146">
        <f t="shared" si="8"/>
        <v>809.46</v>
      </c>
    </row>
    <row r="147" spans="1:12" x14ac:dyDescent="0.2">
      <c r="A147" t="s">
        <v>181</v>
      </c>
      <c r="B147" s="1">
        <v>46011</v>
      </c>
      <c r="C147" t="s">
        <v>29</v>
      </c>
      <c r="D147" t="s">
        <v>15</v>
      </c>
      <c r="E147" t="s">
        <v>56</v>
      </c>
      <c r="F147">
        <v>263.41000000000003</v>
      </c>
      <c r="G147" s="2">
        <f t="shared" si="6"/>
        <v>263.41000000000003</v>
      </c>
      <c r="H147">
        <v>1</v>
      </c>
      <c r="I147" s="3">
        <v>0</v>
      </c>
      <c r="J147">
        <v>4</v>
      </c>
      <c r="K147">
        <f t="shared" si="7"/>
        <v>263.41000000000003</v>
      </c>
      <c r="L147">
        <f t="shared" si="8"/>
        <v>263.41000000000003</v>
      </c>
    </row>
    <row r="148" spans="1:12" x14ac:dyDescent="0.2">
      <c r="A148" t="s">
        <v>498</v>
      </c>
      <c r="B148" s="1">
        <v>45799</v>
      </c>
      <c r="C148" t="s">
        <v>29</v>
      </c>
      <c r="D148" t="s">
        <v>15</v>
      </c>
      <c r="E148" t="s">
        <v>22</v>
      </c>
      <c r="F148">
        <v>257.57</v>
      </c>
      <c r="G148" s="2">
        <f t="shared" si="6"/>
        <v>257.57</v>
      </c>
      <c r="H148">
        <v>2</v>
      </c>
      <c r="I148" s="3">
        <v>0</v>
      </c>
      <c r="J148">
        <v>4</v>
      </c>
      <c r="K148">
        <f t="shared" si="7"/>
        <v>515.14</v>
      </c>
      <c r="L148">
        <f t="shared" si="8"/>
        <v>515.14</v>
      </c>
    </row>
    <row r="149" spans="1:12" x14ac:dyDescent="0.2">
      <c r="A149" t="s">
        <v>44</v>
      </c>
      <c r="B149" s="1">
        <v>45842</v>
      </c>
      <c r="C149" t="s">
        <v>43</v>
      </c>
      <c r="D149" t="s">
        <v>15</v>
      </c>
      <c r="E149" t="s">
        <v>30</v>
      </c>
      <c r="F149">
        <v>386.54</v>
      </c>
      <c r="G149" s="2">
        <f t="shared" si="6"/>
        <v>386.54</v>
      </c>
      <c r="H149">
        <v>1</v>
      </c>
      <c r="I149" s="3">
        <v>0</v>
      </c>
      <c r="J149">
        <v>1</v>
      </c>
      <c r="K149">
        <f t="shared" si="7"/>
        <v>386.54</v>
      </c>
      <c r="L149">
        <f t="shared" si="8"/>
        <v>386.54</v>
      </c>
    </row>
    <row r="150" spans="1:12" x14ac:dyDescent="0.2">
      <c r="A150" t="s">
        <v>287</v>
      </c>
      <c r="B150" s="1">
        <v>45722</v>
      </c>
      <c r="C150" t="s">
        <v>29</v>
      </c>
      <c r="D150" t="s">
        <v>15</v>
      </c>
      <c r="E150" t="s">
        <v>56</v>
      </c>
      <c r="F150">
        <v>370.79</v>
      </c>
      <c r="G150" s="2">
        <f t="shared" si="6"/>
        <v>370.79</v>
      </c>
      <c r="H150">
        <v>2</v>
      </c>
      <c r="I150" s="3">
        <v>0</v>
      </c>
      <c r="J150">
        <v>1</v>
      </c>
      <c r="K150">
        <f t="shared" si="7"/>
        <v>741.58</v>
      </c>
      <c r="L150">
        <f t="shared" si="8"/>
        <v>741.58</v>
      </c>
    </row>
    <row r="151" spans="1:12" x14ac:dyDescent="0.2">
      <c r="A151" t="s">
        <v>457</v>
      </c>
      <c r="B151" s="1">
        <v>46015</v>
      </c>
      <c r="C151" t="s">
        <v>17</v>
      </c>
      <c r="D151" t="s">
        <v>11</v>
      </c>
      <c r="E151" t="s">
        <v>18</v>
      </c>
      <c r="F151">
        <v>1260.1199999999999</v>
      </c>
      <c r="G151" s="2">
        <f t="shared" si="6"/>
        <v>1260.1199999999999</v>
      </c>
      <c r="H151">
        <v>1</v>
      </c>
      <c r="I151" s="3">
        <v>0.2</v>
      </c>
      <c r="J151">
        <v>5</v>
      </c>
      <c r="K151">
        <f t="shared" si="7"/>
        <v>1260.1199999999999</v>
      </c>
      <c r="L151">
        <f t="shared" si="8"/>
        <v>1008.096</v>
      </c>
    </row>
    <row r="152" spans="1:12" x14ac:dyDescent="0.2">
      <c r="A152" t="s">
        <v>797</v>
      </c>
      <c r="B152" s="1">
        <v>45664</v>
      </c>
      <c r="C152" t="s">
        <v>34</v>
      </c>
      <c r="D152" t="s">
        <v>11</v>
      </c>
      <c r="E152" t="s">
        <v>18</v>
      </c>
      <c r="F152">
        <v>1283.1500000000001</v>
      </c>
      <c r="G152" s="2">
        <f t="shared" si="6"/>
        <v>1283.1500000000001</v>
      </c>
      <c r="H152">
        <v>2</v>
      </c>
      <c r="I152" s="3">
        <v>0.1</v>
      </c>
      <c r="J152">
        <v>5</v>
      </c>
      <c r="K152">
        <f t="shared" si="7"/>
        <v>2566.3000000000002</v>
      </c>
      <c r="L152">
        <f t="shared" si="8"/>
        <v>2309.67</v>
      </c>
    </row>
    <row r="153" spans="1:12" x14ac:dyDescent="0.2">
      <c r="A153" t="s">
        <v>825</v>
      </c>
      <c r="B153" s="1">
        <v>45752</v>
      </c>
      <c r="C153" t="s">
        <v>14</v>
      </c>
      <c r="D153" t="s">
        <v>15</v>
      </c>
      <c r="E153" t="s">
        <v>18</v>
      </c>
      <c r="F153">
        <v>302.39999999999998</v>
      </c>
      <c r="G153" s="2">
        <f t="shared" si="6"/>
        <v>302.39999999999998</v>
      </c>
      <c r="H153">
        <v>1</v>
      </c>
      <c r="I153" s="3">
        <v>0</v>
      </c>
      <c r="J153">
        <v>5</v>
      </c>
      <c r="K153">
        <f t="shared" si="7"/>
        <v>302.39999999999998</v>
      </c>
      <c r="L153">
        <f t="shared" si="8"/>
        <v>302.39999999999998</v>
      </c>
    </row>
    <row r="154" spans="1:12" x14ac:dyDescent="0.2">
      <c r="A154" t="s">
        <v>51</v>
      </c>
      <c r="B154" s="1">
        <v>45691</v>
      </c>
      <c r="C154" t="s">
        <v>34</v>
      </c>
      <c r="D154" t="s">
        <v>11</v>
      </c>
      <c r="E154" t="s">
        <v>18</v>
      </c>
      <c r="F154">
        <v>1255.74</v>
      </c>
      <c r="G154" s="2">
        <f t="shared" si="6"/>
        <v>1255.74</v>
      </c>
      <c r="H154">
        <v>5</v>
      </c>
      <c r="I154" s="3">
        <v>0.1</v>
      </c>
      <c r="J154">
        <v>2</v>
      </c>
      <c r="K154">
        <f t="shared" si="7"/>
        <v>6278.7</v>
      </c>
      <c r="L154">
        <f t="shared" si="8"/>
        <v>5650.83</v>
      </c>
    </row>
    <row r="155" spans="1:12" x14ac:dyDescent="0.2">
      <c r="A155" t="s">
        <v>361</v>
      </c>
      <c r="B155" s="1">
        <v>46009</v>
      </c>
      <c r="C155" t="s">
        <v>856</v>
      </c>
      <c r="D155" t="s">
        <v>11</v>
      </c>
      <c r="E155" t="s">
        <v>30</v>
      </c>
      <c r="F155">
        <v>1270.3399999999999</v>
      </c>
      <c r="G155" s="2">
        <f t="shared" si="6"/>
        <v>1270.3399999999999</v>
      </c>
      <c r="H155">
        <v>1</v>
      </c>
      <c r="I155" s="3">
        <v>0</v>
      </c>
      <c r="J155">
        <v>3</v>
      </c>
      <c r="K155">
        <f t="shared" si="7"/>
        <v>1270.3399999999999</v>
      </c>
      <c r="L155">
        <f t="shared" si="8"/>
        <v>1270.3399999999999</v>
      </c>
    </row>
    <row r="156" spans="1:12" x14ac:dyDescent="0.2">
      <c r="A156" t="s">
        <v>328</v>
      </c>
      <c r="B156" s="1">
        <v>45813</v>
      </c>
      <c r="C156" t="s">
        <v>10</v>
      </c>
      <c r="D156" t="s">
        <v>11</v>
      </c>
      <c r="E156" t="s">
        <v>56</v>
      </c>
      <c r="F156">
        <v>1028.56</v>
      </c>
      <c r="G156" s="2">
        <f t="shared" si="6"/>
        <v>1028.56</v>
      </c>
      <c r="H156">
        <v>1</v>
      </c>
      <c r="I156" s="3">
        <v>0</v>
      </c>
      <c r="J156">
        <v>2</v>
      </c>
      <c r="K156">
        <f t="shared" si="7"/>
        <v>1028.56</v>
      </c>
      <c r="L156">
        <f t="shared" si="8"/>
        <v>1028.56</v>
      </c>
    </row>
    <row r="157" spans="1:12" x14ac:dyDescent="0.2">
      <c r="A157" t="s">
        <v>666</v>
      </c>
      <c r="B157" s="1">
        <v>45871</v>
      </c>
      <c r="C157" t="s">
        <v>17</v>
      </c>
      <c r="D157" t="s">
        <v>11</v>
      </c>
      <c r="E157" t="s">
        <v>18</v>
      </c>
      <c r="F157">
        <v>1647.79</v>
      </c>
      <c r="G157" s="2">
        <f t="shared" si="6"/>
        <v>1647.79</v>
      </c>
      <c r="H157">
        <v>2</v>
      </c>
      <c r="I157" s="3">
        <v>0.15</v>
      </c>
      <c r="J157">
        <v>5</v>
      </c>
      <c r="K157">
        <f t="shared" si="7"/>
        <v>3295.58</v>
      </c>
      <c r="L157">
        <f t="shared" si="8"/>
        <v>2801.2429999999999</v>
      </c>
    </row>
    <row r="158" spans="1:12" x14ac:dyDescent="0.2">
      <c r="A158" t="s">
        <v>599</v>
      </c>
      <c r="B158" s="1">
        <v>45810</v>
      </c>
      <c r="C158" t="s">
        <v>14</v>
      </c>
      <c r="D158" t="s">
        <v>15</v>
      </c>
      <c r="E158" t="s">
        <v>22</v>
      </c>
      <c r="F158">
        <v>383.17</v>
      </c>
      <c r="G158" s="2">
        <f t="shared" si="6"/>
        <v>383.17</v>
      </c>
      <c r="H158">
        <v>5</v>
      </c>
      <c r="I158" s="3">
        <v>0</v>
      </c>
      <c r="J158">
        <v>1</v>
      </c>
      <c r="K158">
        <f t="shared" si="7"/>
        <v>1915.8500000000001</v>
      </c>
      <c r="L158">
        <f t="shared" si="8"/>
        <v>1915.8500000000001</v>
      </c>
    </row>
    <row r="159" spans="1:12" x14ac:dyDescent="0.2">
      <c r="A159" t="s">
        <v>456</v>
      </c>
      <c r="B159" s="1">
        <v>45708</v>
      </c>
      <c r="C159" t="s">
        <v>856</v>
      </c>
      <c r="D159" t="s">
        <v>11</v>
      </c>
      <c r="E159" t="s">
        <v>30</v>
      </c>
      <c r="F159">
        <v>914.09</v>
      </c>
      <c r="G159" s="2">
        <f t="shared" si="6"/>
        <v>914.09</v>
      </c>
      <c r="H159">
        <v>2</v>
      </c>
      <c r="I159" s="3">
        <v>0.2</v>
      </c>
      <c r="J159">
        <v>4</v>
      </c>
      <c r="K159">
        <f t="shared" si="7"/>
        <v>1828.18</v>
      </c>
      <c r="L159">
        <f t="shared" si="8"/>
        <v>1462.5440000000001</v>
      </c>
    </row>
    <row r="160" spans="1:12" x14ac:dyDescent="0.2">
      <c r="A160" t="s">
        <v>183</v>
      </c>
      <c r="B160" s="1">
        <v>45699</v>
      </c>
      <c r="C160" t="s">
        <v>43</v>
      </c>
      <c r="D160" t="s">
        <v>15</v>
      </c>
      <c r="E160" t="s">
        <v>30</v>
      </c>
      <c r="F160">
        <v>395.96</v>
      </c>
      <c r="G160" s="2">
        <f t="shared" si="6"/>
        <v>395.96</v>
      </c>
      <c r="H160">
        <v>1</v>
      </c>
      <c r="I160" s="3">
        <v>0</v>
      </c>
      <c r="J160">
        <v>3</v>
      </c>
      <c r="K160">
        <f t="shared" si="7"/>
        <v>395.96</v>
      </c>
      <c r="L160">
        <f t="shared" si="8"/>
        <v>395.96</v>
      </c>
    </row>
    <row r="161" spans="1:12" x14ac:dyDescent="0.2">
      <c r="A161" t="s">
        <v>648</v>
      </c>
      <c r="B161" s="1">
        <v>45738</v>
      </c>
      <c r="C161" t="s">
        <v>17</v>
      </c>
      <c r="D161" t="s">
        <v>11</v>
      </c>
      <c r="E161" t="s">
        <v>56</v>
      </c>
      <c r="F161">
        <v>966.08</v>
      </c>
      <c r="G161" s="2">
        <f t="shared" si="6"/>
        <v>966.08</v>
      </c>
      <c r="H161">
        <v>1</v>
      </c>
      <c r="I161" s="3">
        <v>0.1</v>
      </c>
      <c r="J161">
        <v>5</v>
      </c>
      <c r="K161">
        <f t="shared" si="7"/>
        <v>966.08</v>
      </c>
      <c r="L161">
        <f t="shared" si="8"/>
        <v>869.47200000000009</v>
      </c>
    </row>
    <row r="162" spans="1:12" x14ac:dyDescent="0.2">
      <c r="A162" t="s">
        <v>693</v>
      </c>
      <c r="B162" s="1">
        <v>45898</v>
      </c>
      <c r="C162" t="s">
        <v>29</v>
      </c>
      <c r="D162" t="s">
        <v>15</v>
      </c>
      <c r="E162" t="s">
        <v>56</v>
      </c>
      <c r="F162">
        <v>405.1</v>
      </c>
      <c r="G162" s="2">
        <f t="shared" si="6"/>
        <v>405.1</v>
      </c>
      <c r="H162">
        <v>2</v>
      </c>
      <c r="I162" s="3">
        <v>0</v>
      </c>
      <c r="J162">
        <v>4</v>
      </c>
      <c r="K162">
        <f t="shared" si="7"/>
        <v>810.2</v>
      </c>
      <c r="L162">
        <f t="shared" si="8"/>
        <v>810.2</v>
      </c>
    </row>
    <row r="163" spans="1:12" x14ac:dyDescent="0.2">
      <c r="A163" t="s">
        <v>453</v>
      </c>
      <c r="B163" s="1">
        <v>45802</v>
      </c>
      <c r="C163" t="s">
        <v>43</v>
      </c>
      <c r="D163" t="s">
        <v>15</v>
      </c>
      <c r="E163" t="s">
        <v>30</v>
      </c>
      <c r="F163">
        <v>431.1</v>
      </c>
      <c r="G163" s="2">
        <f t="shared" si="6"/>
        <v>431.1</v>
      </c>
      <c r="H163">
        <v>10</v>
      </c>
      <c r="I163" s="3">
        <v>0</v>
      </c>
      <c r="J163">
        <v>4</v>
      </c>
      <c r="K163">
        <f t="shared" si="7"/>
        <v>4311</v>
      </c>
      <c r="L163">
        <f t="shared" si="8"/>
        <v>4311</v>
      </c>
    </row>
    <row r="164" spans="1:12" x14ac:dyDescent="0.2">
      <c r="A164" t="s">
        <v>444</v>
      </c>
      <c r="B164" s="1">
        <v>45978</v>
      </c>
      <c r="C164" t="s">
        <v>26</v>
      </c>
      <c r="D164" t="s">
        <v>27</v>
      </c>
      <c r="E164" t="s">
        <v>18</v>
      </c>
      <c r="F164">
        <v>501.52</v>
      </c>
      <c r="G164" s="2">
        <f t="shared" si="6"/>
        <v>501.52</v>
      </c>
      <c r="H164">
        <v>2</v>
      </c>
      <c r="I164" s="3">
        <v>0.1</v>
      </c>
      <c r="J164">
        <v>2</v>
      </c>
      <c r="K164">
        <f t="shared" si="7"/>
        <v>1003.04</v>
      </c>
      <c r="L164">
        <f t="shared" si="8"/>
        <v>902.73599999999999</v>
      </c>
    </row>
    <row r="165" spans="1:12" x14ac:dyDescent="0.2">
      <c r="A165" t="s">
        <v>509</v>
      </c>
      <c r="B165" s="1">
        <v>45989</v>
      </c>
      <c r="C165" t="s">
        <v>17</v>
      </c>
      <c r="D165" t="s">
        <v>11</v>
      </c>
      <c r="E165" t="s">
        <v>30</v>
      </c>
      <c r="F165">
        <v>1431.21</v>
      </c>
      <c r="G165" s="2">
        <f t="shared" si="6"/>
        <v>1431.21</v>
      </c>
      <c r="H165">
        <v>1</v>
      </c>
      <c r="I165" s="3">
        <v>0</v>
      </c>
      <c r="J165">
        <v>3</v>
      </c>
      <c r="K165">
        <f t="shared" si="7"/>
        <v>1431.21</v>
      </c>
      <c r="L165">
        <f t="shared" si="8"/>
        <v>1431.21</v>
      </c>
    </row>
    <row r="166" spans="1:12" x14ac:dyDescent="0.2">
      <c r="A166" t="s">
        <v>503</v>
      </c>
      <c r="B166" s="1">
        <v>45742</v>
      </c>
      <c r="C166" t="s">
        <v>34</v>
      </c>
      <c r="D166" t="s">
        <v>11</v>
      </c>
      <c r="E166" t="s">
        <v>860</v>
      </c>
      <c r="F166">
        <v>1299.07</v>
      </c>
      <c r="G166" s="2">
        <f t="shared" si="6"/>
        <v>1299.07</v>
      </c>
      <c r="H166">
        <v>2</v>
      </c>
      <c r="I166" s="3">
        <v>0.15</v>
      </c>
      <c r="J166">
        <v>4</v>
      </c>
      <c r="K166">
        <f t="shared" si="7"/>
        <v>2598.14</v>
      </c>
      <c r="L166">
        <f t="shared" si="8"/>
        <v>2208.4189999999999</v>
      </c>
    </row>
    <row r="167" spans="1:12" x14ac:dyDescent="0.2">
      <c r="A167" t="s">
        <v>422</v>
      </c>
      <c r="B167" s="1">
        <v>45897</v>
      </c>
      <c r="C167" t="s">
        <v>14</v>
      </c>
      <c r="D167" t="s">
        <v>15</v>
      </c>
      <c r="E167" t="s">
        <v>56</v>
      </c>
      <c r="G167" s="2">
        <f t="shared" si="6"/>
        <v>351.86434782608688</v>
      </c>
      <c r="H167">
        <v>2</v>
      </c>
      <c r="I167" s="3">
        <v>0.2</v>
      </c>
      <c r="J167">
        <v>5</v>
      </c>
      <c r="K167">
        <f t="shared" si="7"/>
        <v>703.72869565217377</v>
      </c>
      <c r="L167">
        <f t="shared" si="8"/>
        <v>562.98295652173908</v>
      </c>
    </row>
    <row r="168" spans="1:12" x14ac:dyDescent="0.2">
      <c r="A168" t="s">
        <v>838</v>
      </c>
      <c r="B168" s="1">
        <v>45934</v>
      </c>
      <c r="C168" t="s">
        <v>43</v>
      </c>
      <c r="D168" t="s">
        <v>15</v>
      </c>
      <c r="E168" t="s">
        <v>56</v>
      </c>
      <c r="F168">
        <v>482.78</v>
      </c>
      <c r="G168" s="2">
        <f t="shared" si="6"/>
        <v>482.78</v>
      </c>
      <c r="H168">
        <v>10</v>
      </c>
      <c r="I168" s="3">
        <v>0.1</v>
      </c>
      <c r="J168">
        <v>2</v>
      </c>
      <c r="K168">
        <f t="shared" si="7"/>
        <v>4827.7999999999993</v>
      </c>
      <c r="L168">
        <f t="shared" si="8"/>
        <v>4345.0199999999995</v>
      </c>
    </row>
    <row r="169" spans="1:12" x14ac:dyDescent="0.2">
      <c r="A169" t="s">
        <v>191</v>
      </c>
      <c r="B169" s="1">
        <v>45879</v>
      </c>
      <c r="C169" t="s">
        <v>856</v>
      </c>
      <c r="D169" t="s">
        <v>11</v>
      </c>
      <c r="E169" t="s">
        <v>56</v>
      </c>
      <c r="F169">
        <v>1141.1099999999999</v>
      </c>
      <c r="G169" s="2">
        <f t="shared" si="6"/>
        <v>1141.1099999999999</v>
      </c>
      <c r="H169">
        <v>3</v>
      </c>
      <c r="I169" s="3">
        <v>0.15</v>
      </c>
      <c r="J169">
        <v>4</v>
      </c>
      <c r="K169">
        <f t="shared" si="7"/>
        <v>3423.33</v>
      </c>
      <c r="L169">
        <f t="shared" si="8"/>
        <v>2909.8305</v>
      </c>
    </row>
    <row r="170" spans="1:12" x14ac:dyDescent="0.2">
      <c r="A170" t="s">
        <v>740</v>
      </c>
      <c r="B170" s="1">
        <v>45775</v>
      </c>
      <c r="C170" t="s">
        <v>34</v>
      </c>
      <c r="D170" t="s">
        <v>11</v>
      </c>
      <c r="E170" t="s">
        <v>56</v>
      </c>
      <c r="F170">
        <v>1019.1</v>
      </c>
      <c r="G170" s="2">
        <f t="shared" si="6"/>
        <v>1019.1</v>
      </c>
      <c r="H170">
        <v>1</v>
      </c>
      <c r="I170" s="3">
        <v>0.2</v>
      </c>
      <c r="J170">
        <v>4</v>
      </c>
      <c r="K170">
        <f t="shared" si="7"/>
        <v>1019.1</v>
      </c>
      <c r="L170">
        <f t="shared" si="8"/>
        <v>815.28000000000009</v>
      </c>
    </row>
    <row r="171" spans="1:12" x14ac:dyDescent="0.2">
      <c r="A171" t="s">
        <v>424</v>
      </c>
      <c r="B171" s="1">
        <v>45747</v>
      </c>
      <c r="C171" t="s">
        <v>856</v>
      </c>
      <c r="D171" t="s">
        <v>11</v>
      </c>
      <c r="E171" t="s">
        <v>56</v>
      </c>
      <c r="F171">
        <v>986.52</v>
      </c>
      <c r="G171" s="2">
        <f t="shared" si="6"/>
        <v>986.52</v>
      </c>
      <c r="H171">
        <v>10</v>
      </c>
      <c r="I171" s="3">
        <v>0.15</v>
      </c>
      <c r="J171">
        <v>5</v>
      </c>
      <c r="K171">
        <f t="shared" si="7"/>
        <v>9865.2000000000007</v>
      </c>
      <c r="L171">
        <f t="shared" si="8"/>
        <v>8385.42</v>
      </c>
    </row>
    <row r="172" spans="1:12" x14ac:dyDescent="0.2">
      <c r="A172" t="s">
        <v>242</v>
      </c>
      <c r="B172" s="1">
        <v>45750</v>
      </c>
      <c r="C172" t="s">
        <v>26</v>
      </c>
      <c r="D172" t="s">
        <v>27</v>
      </c>
      <c r="E172" t="s">
        <v>18</v>
      </c>
      <c r="G172" s="2">
        <f t="shared" si="6"/>
        <v>591.75880952380953</v>
      </c>
      <c r="H172">
        <v>5</v>
      </c>
      <c r="I172" s="3">
        <v>0.2</v>
      </c>
      <c r="J172">
        <v>5</v>
      </c>
      <c r="K172">
        <f t="shared" si="7"/>
        <v>2958.7940476190479</v>
      </c>
      <c r="L172">
        <f t="shared" si="8"/>
        <v>2367.0352380952386</v>
      </c>
    </row>
    <row r="173" spans="1:12" x14ac:dyDescent="0.2">
      <c r="A173" t="s">
        <v>405</v>
      </c>
      <c r="B173" s="1">
        <v>45836</v>
      </c>
      <c r="C173" t="s">
        <v>34</v>
      </c>
      <c r="D173" t="s">
        <v>11</v>
      </c>
      <c r="E173" t="s">
        <v>22</v>
      </c>
      <c r="F173">
        <v>1181.5</v>
      </c>
      <c r="G173" s="2">
        <f t="shared" si="6"/>
        <v>1181.5</v>
      </c>
      <c r="H173">
        <v>5</v>
      </c>
      <c r="I173" s="3">
        <v>0</v>
      </c>
      <c r="J173">
        <v>5</v>
      </c>
      <c r="K173">
        <f t="shared" si="7"/>
        <v>5907.5</v>
      </c>
      <c r="L173">
        <f t="shared" si="8"/>
        <v>5907.5</v>
      </c>
    </row>
    <row r="174" spans="1:12" x14ac:dyDescent="0.2">
      <c r="A174" t="s">
        <v>438</v>
      </c>
      <c r="B174" s="1">
        <v>45740</v>
      </c>
      <c r="C174" t="s">
        <v>856</v>
      </c>
      <c r="D174" t="s">
        <v>11</v>
      </c>
      <c r="E174" t="s">
        <v>56</v>
      </c>
      <c r="F174">
        <v>1281.8800000000001</v>
      </c>
      <c r="G174" s="2">
        <f t="shared" si="6"/>
        <v>1281.8800000000001</v>
      </c>
      <c r="H174">
        <v>3</v>
      </c>
      <c r="I174" s="3">
        <v>0.1</v>
      </c>
      <c r="J174">
        <v>5</v>
      </c>
      <c r="K174">
        <f t="shared" si="7"/>
        <v>3845.6400000000003</v>
      </c>
      <c r="L174">
        <f t="shared" si="8"/>
        <v>3461.0760000000005</v>
      </c>
    </row>
    <row r="175" spans="1:12" x14ac:dyDescent="0.2">
      <c r="A175" t="s">
        <v>500</v>
      </c>
      <c r="B175" s="1">
        <v>45863</v>
      </c>
      <c r="C175" t="s">
        <v>43</v>
      </c>
      <c r="D175" t="s">
        <v>15</v>
      </c>
      <c r="E175" t="s">
        <v>30</v>
      </c>
      <c r="F175">
        <v>369.37</v>
      </c>
      <c r="G175" s="2">
        <f t="shared" si="6"/>
        <v>369.37</v>
      </c>
      <c r="H175">
        <v>1</v>
      </c>
      <c r="I175" s="3">
        <v>0.1</v>
      </c>
      <c r="J175">
        <v>2</v>
      </c>
      <c r="K175">
        <f t="shared" si="7"/>
        <v>369.37</v>
      </c>
      <c r="L175">
        <f t="shared" si="8"/>
        <v>332.43299999999999</v>
      </c>
    </row>
    <row r="176" spans="1:12" x14ac:dyDescent="0.2">
      <c r="A176" t="s">
        <v>338</v>
      </c>
      <c r="B176" s="1">
        <v>45823</v>
      </c>
      <c r="C176" t="s">
        <v>43</v>
      </c>
      <c r="D176" t="s">
        <v>15</v>
      </c>
      <c r="E176" t="s">
        <v>18</v>
      </c>
      <c r="F176">
        <v>407.9</v>
      </c>
      <c r="G176" s="2">
        <f t="shared" si="6"/>
        <v>407.9</v>
      </c>
      <c r="H176">
        <v>1</v>
      </c>
      <c r="I176" s="3">
        <v>0.1</v>
      </c>
      <c r="J176" t="s">
        <v>857</v>
      </c>
      <c r="K176">
        <f t="shared" si="7"/>
        <v>407.9</v>
      </c>
      <c r="L176">
        <f t="shared" si="8"/>
        <v>367.11</v>
      </c>
    </row>
    <row r="177" spans="1:12" x14ac:dyDescent="0.2">
      <c r="A177" t="s">
        <v>653</v>
      </c>
      <c r="B177" s="1">
        <v>45994</v>
      </c>
      <c r="C177" t="s">
        <v>10</v>
      </c>
      <c r="D177" t="s">
        <v>11</v>
      </c>
      <c r="E177" t="s">
        <v>56</v>
      </c>
      <c r="F177">
        <v>1203.1199999999999</v>
      </c>
      <c r="G177" s="2">
        <f t="shared" si="6"/>
        <v>1203.1199999999999</v>
      </c>
      <c r="H177">
        <v>10</v>
      </c>
      <c r="I177" s="3">
        <v>0.1</v>
      </c>
      <c r="J177">
        <v>1</v>
      </c>
      <c r="K177">
        <f t="shared" si="7"/>
        <v>12031.199999999999</v>
      </c>
      <c r="L177">
        <f t="shared" si="8"/>
        <v>10828.08</v>
      </c>
    </row>
    <row r="178" spans="1:12" x14ac:dyDescent="0.2">
      <c r="A178" t="s">
        <v>280</v>
      </c>
      <c r="B178" s="1">
        <v>45843</v>
      </c>
      <c r="C178" t="s">
        <v>32</v>
      </c>
      <c r="D178" t="s">
        <v>21</v>
      </c>
      <c r="E178" t="s">
        <v>56</v>
      </c>
      <c r="F178">
        <v>2323.27</v>
      </c>
      <c r="G178" s="2">
        <f t="shared" si="6"/>
        <v>2323.27</v>
      </c>
      <c r="H178">
        <v>10</v>
      </c>
      <c r="I178" s="3">
        <v>0.2</v>
      </c>
      <c r="J178">
        <v>5</v>
      </c>
      <c r="K178">
        <f t="shared" si="7"/>
        <v>23232.7</v>
      </c>
      <c r="L178">
        <f t="shared" si="8"/>
        <v>18586.16</v>
      </c>
    </row>
    <row r="179" spans="1:12" x14ac:dyDescent="0.2">
      <c r="A179" t="s">
        <v>541</v>
      </c>
      <c r="B179" s="1">
        <v>45762</v>
      </c>
      <c r="C179" t="s">
        <v>10</v>
      </c>
      <c r="D179" t="s">
        <v>11</v>
      </c>
      <c r="E179" t="s">
        <v>56</v>
      </c>
      <c r="F179">
        <v>1136.48</v>
      </c>
      <c r="G179" s="2">
        <f t="shared" si="6"/>
        <v>1136.48</v>
      </c>
      <c r="H179">
        <v>2</v>
      </c>
      <c r="I179" s="3">
        <v>0.15</v>
      </c>
      <c r="J179">
        <v>3</v>
      </c>
      <c r="K179">
        <f t="shared" si="7"/>
        <v>2272.96</v>
      </c>
      <c r="L179">
        <f t="shared" si="8"/>
        <v>1932.0160000000001</v>
      </c>
    </row>
    <row r="180" spans="1:12" x14ac:dyDescent="0.2">
      <c r="A180" t="s">
        <v>87</v>
      </c>
      <c r="B180" s="1">
        <v>45882</v>
      </c>
      <c r="C180" t="s">
        <v>26</v>
      </c>
      <c r="D180" t="s">
        <v>27</v>
      </c>
      <c r="E180" t="s">
        <v>18</v>
      </c>
      <c r="F180">
        <v>926.42</v>
      </c>
      <c r="G180" s="2">
        <f t="shared" si="6"/>
        <v>926.42</v>
      </c>
      <c r="H180">
        <v>10</v>
      </c>
      <c r="I180" s="3">
        <v>0</v>
      </c>
      <c r="J180">
        <v>1</v>
      </c>
      <c r="K180">
        <f t="shared" si="7"/>
        <v>9264.1999999999989</v>
      </c>
      <c r="L180">
        <f t="shared" si="8"/>
        <v>9264.1999999999989</v>
      </c>
    </row>
    <row r="181" spans="1:12" x14ac:dyDescent="0.2">
      <c r="A181" t="s">
        <v>741</v>
      </c>
      <c r="B181" s="1">
        <v>45780</v>
      </c>
      <c r="C181" t="s">
        <v>856</v>
      </c>
      <c r="D181" t="s">
        <v>11</v>
      </c>
      <c r="E181" t="s">
        <v>56</v>
      </c>
      <c r="F181">
        <v>1350.16</v>
      </c>
      <c r="G181" s="2">
        <f t="shared" si="6"/>
        <v>1350.16</v>
      </c>
      <c r="H181">
        <v>1</v>
      </c>
      <c r="I181" s="3">
        <v>0</v>
      </c>
      <c r="J181" t="s">
        <v>857</v>
      </c>
      <c r="K181">
        <f t="shared" si="7"/>
        <v>1350.16</v>
      </c>
      <c r="L181">
        <f t="shared" si="8"/>
        <v>1350.16</v>
      </c>
    </row>
    <row r="182" spans="1:12" x14ac:dyDescent="0.2">
      <c r="A182" t="s">
        <v>615</v>
      </c>
      <c r="B182" s="1">
        <v>45866</v>
      </c>
      <c r="C182" t="s">
        <v>34</v>
      </c>
      <c r="D182" t="s">
        <v>11</v>
      </c>
      <c r="E182" t="s">
        <v>56</v>
      </c>
      <c r="G182" s="2">
        <f t="shared" si="6"/>
        <v>1206.3558695652175</v>
      </c>
      <c r="H182">
        <v>1</v>
      </c>
      <c r="I182" s="3">
        <v>0</v>
      </c>
      <c r="J182">
        <v>2</v>
      </c>
      <c r="K182">
        <f t="shared" si="7"/>
        <v>1206.3558695652175</v>
      </c>
      <c r="L182">
        <f t="shared" si="8"/>
        <v>1206.3558695652175</v>
      </c>
    </row>
    <row r="183" spans="1:12" x14ac:dyDescent="0.2">
      <c r="A183" t="s">
        <v>719</v>
      </c>
      <c r="B183" s="1">
        <v>45989</v>
      </c>
      <c r="C183" t="s">
        <v>14</v>
      </c>
      <c r="D183" t="s">
        <v>15</v>
      </c>
      <c r="E183" t="s">
        <v>56</v>
      </c>
      <c r="F183">
        <v>275.04000000000002</v>
      </c>
      <c r="G183" s="2">
        <f t="shared" si="6"/>
        <v>275.04000000000002</v>
      </c>
      <c r="H183">
        <v>1</v>
      </c>
      <c r="I183" s="3">
        <v>0.1</v>
      </c>
      <c r="J183">
        <v>4</v>
      </c>
      <c r="K183">
        <f t="shared" si="7"/>
        <v>275.04000000000002</v>
      </c>
      <c r="L183">
        <f t="shared" si="8"/>
        <v>247.53600000000003</v>
      </c>
    </row>
    <row r="184" spans="1:12" x14ac:dyDescent="0.2">
      <c r="A184" t="s">
        <v>824</v>
      </c>
      <c r="B184" s="1">
        <v>45797</v>
      </c>
      <c r="C184" t="s">
        <v>17</v>
      </c>
      <c r="D184" t="s">
        <v>11</v>
      </c>
      <c r="E184" t="s">
        <v>30</v>
      </c>
      <c r="F184">
        <v>1315.79</v>
      </c>
      <c r="G184" s="2">
        <f t="shared" si="6"/>
        <v>1315.79</v>
      </c>
      <c r="H184">
        <v>5</v>
      </c>
      <c r="I184" s="3">
        <v>0.1</v>
      </c>
      <c r="J184">
        <v>5</v>
      </c>
      <c r="K184">
        <f t="shared" si="7"/>
        <v>6578.95</v>
      </c>
      <c r="L184">
        <f t="shared" si="8"/>
        <v>5921.0550000000003</v>
      </c>
    </row>
    <row r="185" spans="1:12" x14ac:dyDescent="0.2">
      <c r="A185" t="s">
        <v>616</v>
      </c>
      <c r="B185" s="1">
        <v>45940</v>
      </c>
      <c r="C185" t="s">
        <v>32</v>
      </c>
      <c r="D185" t="s">
        <v>21</v>
      </c>
      <c r="E185" t="s">
        <v>22</v>
      </c>
      <c r="F185">
        <v>1719.55</v>
      </c>
      <c r="G185" s="2">
        <f t="shared" si="6"/>
        <v>1719.55</v>
      </c>
      <c r="H185">
        <v>1</v>
      </c>
      <c r="I185" s="3">
        <v>0.1</v>
      </c>
      <c r="J185">
        <v>4</v>
      </c>
      <c r="K185">
        <f t="shared" si="7"/>
        <v>1719.55</v>
      </c>
      <c r="L185">
        <f t="shared" si="8"/>
        <v>1547.595</v>
      </c>
    </row>
    <row r="186" spans="1:12" x14ac:dyDescent="0.2">
      <c r="A186" t="s">
        <v>148</v>
      </c>
      <c r="B186" s="1">
        <v>45870</v>
      </c>
      <c r="C186" t="s">
        <v>10</v>
      </c>
      <c r="D186" t="s">
        <v>11</v>
      </c>
      <c r="E186" t="s">
        <v>18</v>
      </c>
      <c r="F186">
        <v>1313.58</v>
      </c>
      <c r="G186" s="2">
        <f t="shared" si="6"/>
        <v>1313.58</v>
      </c>
      <c r="H186">
        <v>3</v>
      </c>
      <c r="I186" s="3">
        <v>0.15</v>
      </c>
      <c r="J186">
        <v>4</v>
      </c>
      <c r="K186">
        <f t="shared" si="7"/>
        <v>3940.74</v>
      </c>
      <c r="L186">
        <f t="shared" si="8"/>
        <v>3349.6289999999999</v>
      </c>
    </row>
    <row r="187" spans="1:12" x14ac:dyDescent="0.2">
      <c r="A187" t="s">
        <v>399</v>
      </c>
      <c r="B187" s="1">
        <v>45802</v>
      </c>
      <c r="C187" t="s">
        <v>10</v>
      </c>
      <c r="D187" t="s">
        <v>11</v>
      </c>
      <c r="E187" t="s">
        <v>56</v>
      </c>
      <c r="F187">
        <v>1182.52</v>
      </c>
      <c r="G187" s="2">
        <f t="shared" si="6"/>
        <v>1182.52</v>
      </c>
      <c r="H187">
        <v>2</v>
      </c>
      <c r="I187" s="3">
        <v>0.15</v>
      </c>
      <c r="J187">
        <v>5</v>
      </c>
      <c r="K187">
        <f t="shared" si="7"/>
        <v>2365.04</v>
      </c>
      <c r="L187">
        <f t="shared" si="8"/>
        <v>2010.2839999999999</v>
      </c>
    </row>
    <row r="188" spans="1:12" x14ac:dyDescent="0.2">
      <c r="A188" t="s">
        <v>59</v>
      </c>
      <c r="B188" s="1">
        <v>45886</v>
      </c>
      <c r="C188" t="s">
        <v>10</v>
      </c>
      <c r="D188" t="s">
        <v>11</v>
      </c>
      <c r="E188" t="s">
        <v>30</v>
      </c>
      <c r="F188">
        <v>996.77</v>
      </c>
      <c r="G188" s="2">
        <f t="shared" si="6"/>
        <v>996.77</v>
      </c>
      <c r="H188">
        <v>10</v>
      </c>
      <c r="I188" s="3">
        <v>0</v>
      </c>
      <c r="J188">
        <v>5</v>
      </c>
      <c r="K188">
        <f t="shared" si="7"/>
        <v>9967.7000000000007</v>
      </c>
      <c r="L188">
        <f t="shared" si="8"/>
        <v>9967.7000000000007</v>
      </c>
    </row>
    <row r="189" spans="1:12" x14ac:dyDescent="0.2">
      <c r="A189" t="s">
        <v>821</v>
      </c>
      <c r="B189" s="1">
        <v>45936</v>
      </c>
      <c r="C189" t="s">
        <v>17</v>
      </c>
      <c r="D189" t="s">
        <v>11</v>
      </c>
      <c r="E189" t="s">
        <v>18</v>
      </c>
      <c r="F189">
        <v>836.44</v>
      </c>
      <c r="G189" s="2">
        <f t="shared" si="6"/>
        <v>836.44</v>
      </c>
      <c r="H189">
        <v>5</v>
      </c>
      <c r="I189" s="3">
        <v>0.1</v>
      </c>
      <c r="J189">
        <v>5</v>
      </c>
      <c r="K189">
        <f t="shared" si="7"/>
        <v>4182.2000000000007</v>
      </c>
      <c r="L189">
        <f t="shared" si="8"/>
        <v>3763.9800000000009</v>
      </c>
    </row>
    <row r="190" spans="1:12" x14ac:dyDescent="0.2">
      <c r="A190" t="s">
        <v>737</v>
      </c>
      <c r="B190" s="1">
        <v>46015</v>
      </c>
      <c r="C190" t="s">
        <v>10</v>
      </c>
      <c r="D190" t="s">
        <v>11</v>
      </c>
      <c r="E190" t="s">
        <v>30</v>
      </c>
      <c r="F190">
        <v>1092.8399999999999</v>
      </c>
      <c r="G190" s="2">
        <f t="shared" si="6"/>
        <v>1092.8399999999999</v>
      </c>
      <c r="H190">
        <v>2</v>
      </c>
      <c r="I190" s="3">
        <v>0.15</v>
      </c>
      <c r="J190">
        <v>5</v>
      </c>
      <c r="K190">
        <f t="shared" si="7"/>
        <v>2185.6799999999998</v>
      </c>
      <c r="L190">
        <f t="shared" si="8"/>
        <v>1857.8279999999997</v>
      </c>
    </row>
    <row r="191" spans="1:12" x14ac:dyDescent="0.2">
      <c r="A191" t="s">
        <v>289</v>
      </c>
      <c r="B191" s="1">
        <v>45868</v>
      </c>
      <c r="C191" t="s">
        <v>32</v>
      </c>
      <c r="D191" t="s">
        <v>21</v>
      </c>
      <c r="E191" t="s">
        <v>18</v>
      </c>
      <c r="F191">
        <v>2108.3000000000002</v>
      </c>
      <c r="G191" s="2">
        <f t="shared" si="6"/>
        <v>2108.3000000000002</v>
      </c>
      <c r="H191">
        <v>1</v>
      </c>
      <c r="I191" s="3">
        <v>0</v>
      </c>
      <c r="J191">
        <v>5</v>
      </c>
      <c r="K191">
        <f t="shared" si="7"/>
        <v>2108.3000000000002</v>
      </c>
      <c r="L191">
        <f t="shared" si="8"/>
        <v>2108.3000000000002</v>
      </c>
    </row>
    <row r="192" spans="1:12" x14ac:dyDescent="0.2">
      <c r="A192" t="s">
        <v>197</v>
      </c>
      <c r="B192" s="1">
        <v>45853</v>
      </c>
      <c r="C192" t="s">
        <v>29</v>
      </c>
      <c r="D192" t="s">
        <v>15</v>
      </c>
      <c r="E192" t="s">
        <v>18</v>
      </c>
      <c r="F192">
        <v>364.99</v>
      </c>
      <c r="G192" s="2">
        <f t="shared" si="6"/>
        <v>364.99</v>
      </c>
      <c r="H192">
        <v>5</v>
      </c>
      <c r="I192" s="3">
        <v>0.2</v>
      </c>
      <c r="J192">
        <v>3</v>
      </c>
      <c r="K192">
        <f t="shared" si="7"/>
        <v>1824.95</v>
      </c>
      <c r="L192">
        <f t="shared" si="8"/>
        <v>1459.96</v>
      </c>
    </row>
    <row r="193" spans="1:12" x14ac:dyDescent="0.2">
      <c r="A193" t="s">
        <v>301</v>
      </c>
      <c r="B193" s="1">
        <v>45722</v>
      </c>
      <c r="C193" t="s">
        <v>14</v>
      </c>
      <c r="D193" t="s">
        <v>15</v>
      </c>
      <c r="E193" t="s">
        <v>860</v>
      </c>
      <c r="F193">
        <v>262.8</v>
      </c>
      <c r="G193" s="2">
        <f t="shared" si="6"/>
        <v>262.8</v>
      </c>
      <c r="H193">
        <v>3</v>
      </c>
      <c r="I193" s="3">
        <v>0</v>
      </c>
      <c r="J193">
        <v>5</v>
      </c>
      <c r="K193">
        <f t="shared" si="7"/>
        <v>788.40000000000009</v>
      </c>
      <c r="L193">
        <f t="shared" si="8"/>
        <v>788.40000000000009</v>
      </c>
    </row>
    <row r="194" spans="1:12" x14ac:dyDescent="0.2">
      <c r="A194" t="s">
        <v>539</v>
      </c>
      <c r="B194" s="1">
        <v>45891</v>
      </c>
      <c r="C194" t="s">
        <v>34</v>
      </c>
      <c r="D194" t="s">
        <v>11</v>
      </c>
      <c r="E194" t="s">
        <v>56</v>
      </c>
      <c r="F194">
        <v>1241.56</v>
      </c>
      <c r="G194" s="2">
        <f t="shared" ref="G194:G257" si="9">IF(F194="", AVERAGEIF(C:C, C194, F:F), F194)</f>
        <v>1241.56</v>
      </c>
      <c r="H194">
        <v>1</v>
      </c>
      <c r="I194" s="3">
        <v>0.2</v>
      </c>
      <c r="J194">
        <v>3</v>
      </c>
      <c r="K194">
        <f t="shared" si="7"/>
        <v>1241.56</v>
      </c>
      <c r="L194">
        <f t="shared" si="8"/>
        <v>993.24800000000005</v>
      </c>
    </row>
    <row r="195" spans="1:12" x14ac:dyDescent="0.2">
      <c r="A195" t="s">
        <v>811</v>
      </c>
      <c r="B195" s="1">
        <v>45993</v>
      </c>
      <c r="C195" t="s">
        <v>54</v>
      </c>
      <c r="D195" t="s">
        <v>15</v>
      </c>
      <c r="E195" t="s">
        <v>18</v>
      </c>
      <c r="F195">
        <v>376.97</v>
      </c>
      <c r="G195" s="2">
        <f t="shared" si="9"/>
        <v>376.97</v>
      </c>
      <c r="H195">
        <v>1</v>
      </c>
      <c r="I195" s="3">
        <v>0</v>
      </c>
      <c r="J195">
        <v>5</v>
      </c>
      <c r="K195">
        <f t="shared" ref="K195:K258" si="10">G195*H195</f>
        <v>376.97</v>
      </c>
      <c r="L195">
        <f t="shared" ref="L195:L258" si="11">G195*H195*(1-I195)</f>
        <v>376.97</v>
      </c>
    </row>
    <row r="196" spans="1:12" x14ac:dyDescent="0.2">
      <c r="A196" t="s">
        <v>854</v>
      </c>
      <c r="B196" s="1">
        <v>45831</v>
      </c>
      <c r="C196" t="s">
        <v>10</v>
      </c>
      <c r="D196" t="s">
        <v>11</v>
      </c>
      <c r="E196" t="s">
        <v>18</v>
      </c>
      <c r="F196">
        <v>987.87</v>
      </c>
      <c r="G196" s="2">
        <f t="shared" si="9"/>
        <v>987.87</v>
      </c>
      <c r="H196">
        <v>5</v>
      </c>
      <c r="I196" s="3">
        <v>0.2</v>
      </c>
      <c r="J196">
        <v>2</v>
      </c>
      <c r="K196">
        <f t="shared" si="10"/>
        <v>4939.3500000000004</v>
      </c>
      <c r="L196">
        <f t="shared" si="11"/>
        <v>3951.4800000000005</v>
      </c>
    </row>
    <row r="197" spans="1:12" x14ac:dyDescent="0.2">
      <c r="A197" t="s">
        <v>743</v>
      </c>
      <c r="B197" s="1">
        <v>46003</v>
      </c>
      <c r="C197" t="s">
        <v>10</v>
      </c>
      <c r="D197" t="s">
        <v>11</v>
      </c>
      <c r="E197" t="s">
        <v>18</v>
      </c>
      <c r="F197">
        <v>1236.8900000000001</v>
      </c>
      <c r="G197" s="2">
        <f t="shared" si="9"/>
        <v>1236.8900000000001</v>
      </c>
      <c r="H197">
        <v>5</v>
      </c>
      <c r="I197" s="3">
        <v>0</v>
      </c>
      <c r="J197">
        <v>5</v>
      </c>
      <c r="K197">
        <f t="shared" si="10"/>
        <v>6184.4500000000007</v>
      </c>
      <c r="L197">
        <f t="shared" si="11"/>
        <v>6184.4500000000007</v>
      </c>
    </row>
    <row r="198" spans="1:12" x14ac:dyDescent="0.2">
      <c r="A198" t="s">
        <v>575</v>
      </c>
      <c r="B198" s="1">
        <v>45676</v>
      </c>
      <c r="C198" t="s">
        <v>10</v>
      </c>
      <c r="D198" t="s">
        <v>11</v>
      </c>
      <c r="E198" t="s">
        <v>56</v>
      </c>
      <c r="F198">
        <v>1213.97</v>
      </c>
      <c r="G198" s="2">
        <f t="shared" si="9"/>
        <v>1213.97</v>
      </c>
      <c r="H198">
        <v>1</v>
      </c>
      <c r="I198" s="3">
        <v>0</v>
      </c>
      <c r="J198">
        <v>4</v>
      </c>
      <c r="K198">
        <f t="shared" si="10"/>
        <v>1213.97</v>
      </c>
      <c r="L198">
        <f t="shared" si="11"/>
        <v>1213.97</v>
      </c>
    </row>
    <row r="199" spans="1:12" x14ac:dyDescent="0.2">
      <c r="A199" t="s">
        <v>257</v>
      </c>
      <c r="B199" s="1">
        <v>45704</v>
      </c>
      <c r="C199" t="s">
        <v>32</v>
      </c>
      <c r="D199" t="s">
        <v>21</v>
      </c>
      <c r="E199" t="s">
        <v>30</v>
      </c>
      <c r="F199">
        <v>1388.53</v>
      </c>
      <c r="G199" s="2">
        <f t="shared" si="9"/>
        <v>1388.53</v>
      </c>
      <c r="H199">
        <v>5</v>
      </c>
      <c r="I199" s="3">
        <v>0</v>
      </c>
      <c r="J199">
        <v>2</v>
      </c>
      <c r="K199">
        <f t="shared" si="10"/>
        <v>6942.65</v>
      </c>
      <c r="L199">
        <f t="shared" si="11"/>
        <v>6942.65</v>
      </c>
    </row>
    <row r="200" spans="1:12" x14ac:dyDescent="0.2">
      <c r="A200" t="s">
        <v>346</v>
      </c>
      <c r="B200" s="1">
        <v>46013</v>
      </c>
      <c r="C200" t="s">
        <v>14</v>
      </c>
      <c r="D200" t="s">
        <v>15</v>
      </c>
      <c r="E200" t="s">
        <v>30</v>
      </c>
      <c r="F200">
        <v>375.05</v>
      </c>
      <c r="G200" s="2">
        <f t="shared" si="9"/>
        <v>375.05</v>
      </c>
      <c r="H200">
        <v>2</v>
      </c>
      <c r="I200" s="3">
        <v>0</v>
      </c>
      <c r="J200">
        <v>1</v>
      </c>
      <c r="K200">
        <f t="shared" si="10"/>
        <v>750.1</v>
      </c>
      <c r="L200">
        <f t="shared" si="11"/>
        <v>750.1</v>
      </c>
    </row>
    <row r="201" spans="1:12" x14ac:dyDescent="0.2">
      <c r="A201" t="s">
        <v>818</v>
      </c>
      <c r="B201" s="1">
        <v>45686</v>
      </c>
      <c r="C201" t="s">
        <v>43</v>
      </c>
      <c r="D201" t="s">
        <v>15</v>
      </c>
      <c r="E201" t="s">
        <v>18</v>
      </c>
      <c r="F201">
        <v>389.25</v>
      </c>
      <c r="G201" s="2">
        <f t="shared" si="9"/>
        <v>389.25</v>
      </c>
      <c r="H201">
        <v>2</v>
      </c>
      <c r="I201" s="3">
        <v>0</v>
      </c>
      <c r="J201">
        <v>5</v>
      </c>
      <c r="K201">
        <f t="shared" si="10"/>
        <v>778.5</v>
      </c>
      <c r="L201">
        <f t="shared" si="11"/>
        <v>778.5</v>
      </c>
    </row>
    <row r="202" spans="1:12" x14ac:dyDescent="0.2">
      <c r="A202" t="s">
        <v>284</v>
      </c>
      <c r="B202" s="1">
        <v>45783</v>
      </c>
      <c r="C202" t="s">
        <v>54</v>
      </c>
      <c r="D202" t="s">
        <v>15</v>
      </c>
      <c r="E202" t="s">
        <v>30</v>
      </c>
      <c r="F202">
        <v>425.81</v>
      </c>
      <c r="G202" s="2">
        <f t="shared" si="9"/>
        <v>425.81</v>
      </c>
      <c r="H202">
        <v>5</v>
      </c>
      <c r="I202" s="3">
        <v>0.15</v>
      </c>
      <c r="J202">
        <v>3</v>
      </c>
      <c r="K202">
        <f t="shared" si="10"/>
        <v>2129.0500000000002</v>
      </c>
      <c r="L202">
        <f t="shared" si="11"/>
        <v>1809.6925000000001</v>
      </c>
    </row>
    <row r="203" spans="1:12" x14ac:dyDescent="0.2">
      <c r="A203" t="s">
        <v>775</v>
      </c>
      <c r="B203" s="1">
        <v>45698</v>
      </c>
      <c r="C203" t="s">
        <v>32</v>
      </c>
      <c r="D203" t="s">
        <v>21</v>
      </c>
      <c r="E203" t="s">
        <v>30</v>
      </c>
      <c r="F203">
        <v>2179.37</v>
      </c>
      <c r="G203" s="2">
        <f t="shared" si="9"/>
        <v>2179.37</v>
      </c>
      <c r="H203">
        <v>5</v>
      </c>
      <c r="I203" s="3">
        <v>0.15</v>
      </c>
      <c r="J203">
        <v>4</v>
      </c>
      <c r="K203">
        <f t="shared" si="10"/>
        <v>10896.849999999999</v>
      </c>
      <c r="L203">
        <f t="shared" si="11"/>
        <v>9262.3224999999984</v>
      </c>
    </row>
    <row r="204" spans="1:12" x14ac:dyDescent="0.2">
      <c r="A204" t="s">
        <v>182</v>
      </c>
      <c r="B204" s="1">
        <v>45731</v>
      </c>
      <c r="C204" t="s">
        <v>14</v>
      </c>
      <c r="D204" t="s">
        <v>15</v>
      </c>
      <c r="E204" t="s">
        <v>56</v>
      </c>
      <c r="F204">
        <v>253.56</v>
      </c>
      <c r="G204" s="2">
        <f t="shared" si="9"/>
        <v>253.56</v>
      </c>
      <c r="H204">
        <v>2</v>
      </c>
      <c r="I204" s="3">
        <v>0.1</v>
      </c>
      <c r="J204">
        <v>4</v>
      </c>
      <c r="K204">
        <f t="shared" si="10"/>
        <v>507.12</v>
      </c>
      <c r="L204">
        <f t="shared" si="11"/>
        <v>456.40800000000002</v>
      </c>
    </row>
    <row r="205" spans="1:12" x14ac:dyDescent="0.2">
      <c r="A205" t="s">
        <v>237</v>
      </c>
      <c r="B205" s="1">
        <v>45999</v>
      </c>
      <c r="C205" t="s">
        <v>14</v>
      </c>
      <c r="D205" t="s">
        <v>15</v>
      </c>
      <c r="E205" t="s">
        <v>18</v>
      </c>
      <c r="F205">
        <v>284.35000000000002</v>
      </c>
      <c r="G205" s="2">
        <f t="shared" si="9"/>
        <v>284.35000000000002</v>
      </c>
      <c r="H205">
        <v>1</v>
      </c>
      <c r="I205" s="3">
        <v>0.1</v>
      </c>
      <c r="J205">
        <v>4</v>
      </c>
      <c r="K205">
        <f t="shared" si="10"/>
        <v>284.35000000000002</v>
      </c>
      <c r="L205">
        <f t="shared" si="11"/>
        <v>255.91500000000002</v>
      </c>
    </row>
    <row r="206" spans="1:12" x14ac:dyDescent="0.2">
      <c r="A206" t="s">
        <v>582</v>
      </c>
      <c r="B206" s="1">
        <v>45738</v>
      </c>
      <c r="C206" t="s">
        <v>856</v>
      </c>
      <c r="D206" t="s">
        <v>11</v>
      </c>
      <c r="E206" t="s">
        <v>56</v>
      </c>
      <c r="F206">
        <v>1323.61</v>
      </c>
      <c r="G206" s="2">
        <f t="shared" si="9"/>
        <v>1323.61</v>
      </c>
      <c r="H206">
        <v>1</v>
      </c>
      <c r="I206" s="3">
        <v>0.1</v>
      </c>
      <c r="J206">
        <v>5</v>
      </c>
      <c r="K206">
        <f t="shared" si="10"/>
        <v>1323.61</v>
      </c>
      <c r="L206">
        <f t="shared" si="11"/>
        <v>1191.249</v>
      </c>
    </row>
    <row r="207" spans="1:12" x14ac:dyDescent="0.2">
      <c r="A207" t="s">
        <v>356</v>
      </c>
      <c r="B207" s="1">
        <v>45985</v>
      </c>
      <c r="C207" t="s">
        <v>856</v>
      </c>
      <c r="D207" t="s">
        <v>11</v>
      </c>
      <c r="E207" t="s">
        <v>18</v>
      </c>
      <c r="F207">
        <v>1323.31</v>
      </c>
      <c r="G207" s="2">
        <f t="shared" si="9"/>
        <v>1323.31</v>
      </c>
      <c r="H207">
        <v>5</v>
      </c>
      <c r="I207" s="3">
        <v>0.2</v>
      </c>
      <c r="J207">
        <v>4</v>
      </c>
      <c r="K207">
        <f t="shared" si="10"/>
        <v>6616.5499999999993</v>
      </c>
      <c r="L207">
        <f t="shared" si="11"/>
        <v>5293.24</v>
      </c>
    </row>
    <row r="208" spans="1:12" x14ac:dyDescent="0.2">
      <c r="A208" t="s">
        <v>678</v>
      </c>
      <c r="B208" s="1">
        <v>45812</v>
      </c>
      <c r="C208" t="s">
        <v>14</v>
      </c>
      <c r="D208" t="s">
        <v>15</v>
      </c>
      <c r="E208" t="s">
        <v>18</v>
      </c>
      <c r="F208">
        <v>386.05</v>
      </c>
      <c r="G208" s="2">
        <f t="shared" si="9"/>
        <v>386.05</v>
      </c>
      <c r="H208">
        <v>2</v>
      </c>
      <c r="I208" s="3">
        <v>0.1</v>
      </c>
      <c r="J208">
        <v>5</v>
      </c>
      <c r="K208">
        <f t="shared" si="10"/>
        <v>772.1</v>
      </c>
      <c r="L208">
        <f t="shared" si="11"/>
        <v>694.89</v>
      </c>
    </row>
    <row r="209" spans="1:12" x14ac:dyDescent="0.2">
      <c r="A209" t="s">
        <v>211</v>
      </c>
      <c r="B209" s="1">
        <v>45853</v>
      </c>
      <c r="C209" t="s">
        <v>34</v>
      </c>
      <c r="D209" t="s">
        <v>11</v>
      </c>
      <c r="E209" t="s">
        <v>30</v>
      </c>
      <c r="F209">
        <v>2124.66</v>
      </c>
      <c r="G209" s="2">
        <f t="shared" si="9"/>
        <v>2124.66</v>
      </c>
      <c r="H209">
        <v>3</v>
      </c>
      <c r="I209" s="3">
        <v>0.15</v>
      </c>
      <c r="J209">
        <v>4</v>
      </c>
      <c r="K209">
        <f t="shared" si="10"/>
        <v>6373.98</v>
      </c>
      <c r="L209">
        <f t="shared" si="11"/>
        <v>5417.8829999999998</v>
      </c>
    </row>
    <row r="210" spans="1:12" x14ac:dyDescent="0.2">
      <c r="A210" t="s">
        <v>659</v>
      </c>
      <c r="B210" s="1">
        <v>45669</v>
      </c>
      <c r="C210" t="s">
        <v>29</v>
      </c>
      <c r="D210" t="s">
        <v>15</v>
      </c>
      <c r="E210" t="s">
        <v>18</v>
      </c>
      <c r="F210">
        <v>389.96</v>
      </c>
      <c r="G210" s="2">
        <f t="shared" si="9"/>
        <v>389.96</v>
      </c>
      <c r="H210">
        <v>5</v>
      </c>
      <c r="I210" s="3">
        <v>0</v>
      </c>
      <c r="J210">
        <v>1</v>
      </c>
      <c r="K210">
        <f t="shared" si="10"/>
        <v>1949.8</v>
      </c>
      <c r="L210">
        <f t="shared" si="11"/>
        <v>1949.8</v>
      </c>
    </row>
    <row r="211" spans="1:12" x14ac:dyDescent="0.2">
      <c r="A211" t="s">
        <v>850</v>
      </c>
      <c r="B211" s="1">
        <v>46009</v>
      </c>
      <c r="C211" t="s">
        <v>856</v>
      </c>
      <c r="D211" t="s">
        <v>11</v>
      </c>
      <c r="E211" t="s">
        <v>18</v>
      </c>
      <c r="F211">
        <v>1472.54</v>
      </c>
      <c r="G211" s="2">
        <f t="shared" si="9"/>
        <v>1472.54</v>
      </c>
      <c r="H211">
        <v>1</v>
      </c>
      <c r="I211" s="3">
        <v>0.15</v>
      </c>
      <c r="J211">
        <v>5</v>
      </c>
      <c r="K211">
        <f t="shared" si="10"/>
        <v>1472.54</v>
      </c>
      <c r="L211">
        <f t="shared" si="11"/>
        <v>1251.6589999999999</v>
      </c>
    </row>
    <row r="212" spans="1:12" x14ac:dyDescent="0.2">
      <c r="A212" t="s">
        <v>573</v>
      </c>
      <c r="B212" s="1">
        <v>45775</v>
      </c>
      <c r="C212" t="s">
        <v>10</v>
      </c>
      <c r="D212" t="s">
        <v>11</v>
      </c>
      <c r="E212" t="s">
        <v>18</v>
      </c>
      <c r="F212">
        <v>1428.96</v>
      </c>
      <c r="G212" s="2">
        <f t="shared" si="9"/>
        <v>1428.96</v>
      </c>
      <c r="H212">
        <v>3</v>
      </c>
      <c r="I212" s="3">
        <v>0</v>
      </c>
      <c r="J212">
        <v>4</v>
      </c>
      <c r="K212">
        <f t="shared" si="10"/>
        <v>4286.88</v>
      </c>
      <c r="L212">
        <f t="shared" si="11"/>
        <v>4286.88</v>
      </c>
    </row>
    <row r="213" spans="1:12" x14ac:dyDescent="0.2">
      <c r="A213" t="s">
        <v>390</v>
      </c>
      <c r="B213" s="1">
        <v>46005</v>
      </c>
      <c r="C213" t="s">
        <v>856</v>
      </c>
      <c r="D213" t="s">
        <v>11</v>
      </c>
      <c r="E213" t="s">
        <v>18</v>
      </c>
      <c r="F213">
        <v>1356.33</v>
      </c>
      <c r="G213" s="2">
        <f t="shared" si="9"/>
        <v>1356.33</v>
      </c>
      <c r="H213">
        <v>1</v>
      </c>
      <c r="I213" s="3">
        <v>0.2</v>
      </c>
      <c r="J213">
        <v>2</v>
      </c>
      <c r="K213">
        <f t="shared" si="10"/>
        <v>1356.33</v>
      </c>
      <c r="L213">
        <f t="shared" si="11"/>
        <v>1085.0640000000001</v>
      </c>
    </row>
    <row r="214" spans="1:12" x14ac:dyDescent="0.2">
      <c r="A214" t="s">
        <v>436</v>
      </c>
      <c r="B214" s="1">
        <v>45988</v>
      </c>
      <c r="C214" t="s">
        <v>26</v>
      </c>
      <c r="D214" t="s">
        <v>27</v>
      </c>
      <c r="E214" t="s">
        <v>30</v>
      </c>
      <c r="F214">
        <v>562.16999999999996</v>
      </c>
      <c r="G214" s="2">
        <f t="shared" si="9"/>
        <v>562.16999999999996</v>
      </c>
      <c r="H214">
        <v>1</v>
      </c>
      <c r="I214" s="3">
        <v>0</v>
      </c>
      <c r="J214">
        <v>5</v>
      </c>
      <c r="K214">
        <f t="shared" si="10"/>
        <v>562.16999999999996</v>
      </c>
      <c r="L214">
        <f t="shared" si="11"/>
        <v>562.16999999999996</v>
      </c>
    </row>
    <row r="215" spans="1:12" x14ac:dyDescent="0.2">
      <c r="A215" t="s">
        <v>758</v>
      </c>
      <c r="B215" s="1">
        <v>45844</v>
      </c>
      <c r="C215" t="s">
        <v>34</v>
      </c>
      <c r="D215" t="s">
        <v>11</v>
      </c>
      <c r="E215" t="s">
        <v>56</v>
      </c>
      <c r="F215">
        <v>1382.15</v>
      </c>
      <c r="G215" s="2">
        <f t="shared" si="9"/>
        <v>1382.15</v>
      </c>
      <c r="H215">
        <v>1</v>
      </c>
      <c r="I215" s="3">
        <v>0</v>
      </c>
      <c r="J215">
        <v>4</v>
      </c>
      <c r="K215">
        <f t="shared" si="10"/>
        <v>1382.15</v>
      </c>
      <c r="L215">
        <f t="shared" si="11"/>
        <v>1382.15</v>
      </c>
    </row>
    <row r="216" spans="1:12" x14ac:dyDescent="0.2">
      <c r="A216" t="s">
        <v>491</v>
      </c>
      <c r="B216" s="1">
        <v>45870</v>
      </c>
      <c r="C216" t="s">
        <v>43</v>
      </c>
      <c r="D216" t="s">
        <v>15</v>
      </c>
      <c r="E216" t="s">
        <v>30</v>
      </c>
      <c r="F216">
        <v>295.89999999999998</v>
      </c>
      <c r="G216" s="2">
        <f t="shared" si="9"/>
        <v>295.89999999999998</v>
      </c>
      <c r="H216">
        <v>1</v>
      </c>
      <c r="I216" s="3">
        <v>0</v>
      </c>
      <c r="J216">
        <v>3</v>
      </c>
      <c r="K216">
        <f t="shared" si="10"/>
        <v>295.89999999999998</v>
      </c>
      <c r="L216">
        <f t="shared" si="11"/>
        <v>295.89999999999998</v>
      </c>
    </row>
    <row r="217" spans="1:12" x14ac:dyDescent="0.2">
      <c r="A217" t="s">
        <v>290</v>
      </c>
      <c r="B217" s="1">
        <v>45845</v>
      </c>
      <c r="C217" t="s">
        <v>10</v>
      </c>
      <c r="D217" t="s">
        <v>11</v>
      </c>
      <c r="E217" t="s">
        <v>56</v>
      </c>
      <c r="F217">
        <v>1143.1600000000001</v>
      </c>
      <c r="G217" s="2">
        <f t="shared" si="9"/>
        <v>1143.1600000000001</v>
      </c>
      <c r="H217">
        <v>2</v>
      </c>
      <c r="I217" s="3">
        <v>0</v>
      </c>
      <c r="J217">
        <v>4</v>
      </c>
      <c r="K217">
        <f t="shared" si="10"/>
        <v>2286.3200000000002</v>
      </c>
      <c r="L217">
        <f t="shared" si="11"/>
        <v>2286.3200000000002</v>
      </c>
    </row>
    <row r="218" spans="1:12" x14ac:dyDescent="0.2">
      <c r="A218" t="s">
        <v>553</v>
      </c>
      <c r="B218" s="1">
        <v>45904</v>
      </c>
      <c r="C218" t="s">
        <v>26</v>
      </c>
      <c r="D218" t="s">
        <v>27</v>
      </c>
      <c r="E218" t="s">
        <v>18</v>
      </c>
      <c r="F218">
        <v>541.76</v>
      </c>
      <c r="G218" s="2">
        <f t="shared" si="9"/>
        <v>541.76</v>
      </c>
      <c r="H218">
        <v>2</v>
      </c>
      <c r="I218" s="3">
        <v>0.2</v>
      </c>
      <c r="J218">
        <v>5</v>
      </c>
      <c r="K218">
        <f t="shared" si="10"/>
        <v>1083.52</v>
      </c>
      <c r="L218">
        <f t="shared" si="11"/>
        <v>866.81600000000003</v>
      </c>
    </row>
    <row r="219" spans="1:12" x14ac:dyDescent="0.2">
      <c r="A219" t="s">
        <v>791</v>
      </c>
      <c r="B219" s="1">
        <v>45897</v>
      </c>
      <c r="C219" t="s">
        <v>10</v>
      </c>
      <c r="D219" t="s">
        <v>11</v>
      </c>
      <c r="E219" t="s">
        <v>56</v>
      </c>
      <c r="F219">
        <v>1219.6500000000001</v>
      </c>
      <c r="G219" s="2">
        <f t="shared" si="9"/>
        <v>1219.6500000000001</v>
      </c>
      <c r="H219">
        <v>1</v>
      </c>
      <c r="I219" s="3">
        <v>0</v>
      </c>
      <c r="J219">
        <v>4</v>
      </c>
      <c r="K219">
        <f t="shared" si="10"/>
        <v>1219.6500000000001</v>
      </c>
      <c r="L219">
        <f t="shared" si="11"/>
        <v>1219.6500000000001</v>
      </c>
    </row>
    <row r="220" spans="1:12" x14ac:dyDescent="0.2">
      <c r="A220" t="s">
        <v>113</v>
      </c>
      <c r="B220" s="1">
        <v>46003</v>
      </c>
      <c r="C220" t="s">
        <v>10</v>
      </c>
      <c r="D220" t="s">
        <v>11</v>
      </c>
      <c r="E220" t="s">
        <v>30</v>
      </c>
      <c r="F220">
        <v>1755.52</v>
      </c>
      <c r="G220" s="2">
        <f t="shared" si="9"/>
        <v>1755.52</v>
      </c>
      <c r="H220">
        <v>5</v>
      </c>
      <c r="I220" s="3">
        <v>0.15</v>
      </c>
      <c r="J220">
        <v>5</v>
      </c>
      <c r="K220">
        <f t="shared" si="10"/>
        <v>8777.6</v>
      </c>
      <c r="L220">
        <f t="shared" si="11"/>
        <v>7460.96</v>
      </c>
    </row>
    <row r="221" spans="1:12" x14ac:dyDescent="0.2">
      <c r="A221" t="s">
        <v>322</v>
      </c>
      <c r="B221" s="1">
        <v>45860</v>
      </c>
      <c r="C221" t="s">
        <v>34</v>
      </c>
      <c r="D221" t="s">
        <v>11</v>
      </c>
      <c r="E221" t="s">
        <v>18</v>
      </c>
      <c r="F221">
        <v>751.86</v>
      </c>
      <c r="G221" s="2">
        <f t="shared" si="9"/>
        <v>751.86</v>
      </c>
      <c r="H221">
        <v>1</v>
      </c>
      <c r="I221" s="3">
        <v>0</v>
      </c>
      <c r="J221" t="s">
        <v>857</v>
      </c>
      <c r="K221">
        <f t="shared" si="10"/>
        <v>751.86</v>
      </c>
      <c r="L221">
        <f t="shared" si="11"/>
        <v>751.86</v>
      </c>
    </row>
    <row r="222" spans="1:12" x14ac:dyDescent="0.2">
      <c r="A222" t="s">
        <v>176</v>
      </c>
      <c r="B222" s="1">
        <v>45846</v>
      </c>
      <c r="C222" t="s">
        <v>34</v>
      </c>
      <c r="D222" t="s">
        <v>11</v>
      </c>
      <c r="E222" t="s">
        <v>22</v>
      </c>
      <c r="F222">
        <v>1364.7</v>
      </c>
      <c r="G222" s="2">
        <f t="shared" si="9"/>
        <v>1364.7</v>
      </c>
      <c r="H222">
        <v>2</v>
      </c>
      <c r="I222" s="3">
        <v>0.15</v>
      </c>
      <c r="J222">
        <v>5</v>
      </c>
      <c r="K222">
        <f t="shared" si="10"/>
        <v>2729.4</v>
      </c>
      <c r="L222">
        <f t="shared" si="11"/>
        <v>2319.9900000000002</v>
      </c>
    </row>
    <row r="223" spans="1:12" x14ac:dyDescent="0.2">
      <c r="A223" t="s">
        <v>319</v>
      </c>
      <c r="B223" s="1">
        <v>45848</v>
      </c>
      <c r="C223" t="s">
        <v>10</v>
      </c>
      <c r="D223" t="s">
        <v>11</v>
      </c>
      <c r="E223" t="s">
        <v>30</v>
      </c>
      <c r="F223">
        <v>812.95</v>
      </c>
      <c r="G223" s="2">
        <f t="shared" si="9"/>
        <v>812.95</v>
      </c>
      <c r="H223">
        <v>1</v>
      </c>
      <c r="I223" s="3">
        <v>0.2</v>
      </c>
      <c r="J223">
        <v>4</v>
      </c>
      <c r="K223">
        <f t="shared" si="10"/>
        <v>812.95</v>
      </c>
      <c r="L223">
        <f t="shared" si="11"/>
        <v>650.36000000000013</v>
      </c>
    </row>
    <row r="224" spans="1:12" x14ac:dyDescent="0.2">
      <c r="A224" t="s">
        <v>795</v>
      </c>
      <c r="B224" s="1">
        <v>45975</v>
      </c>
      <c r="C224" t="s">
        <v>14</v>
      </c>
      <c r="D224" t="s">
        <v>15</v>
      </c>
      <c r="E224" t="s">
        <v>56</v>
      </c>
      <c r="F224">
        <v>316.95999999999998</v>
      </c>
      <c r="G224" s="2">
        <f t="shared" si="9"/>
        <v>316.95999999999998</v>
      </c>
      <c r="H224">
        <v>3</v>
      </c>
      <c r="I224" s="3">
        <v>0.15</v>
      </c>
      <c r="J224">
        <v>4</v>
      </c>
      <c r="K224">
        <f t="shared" si="10"/>
        <v>950.87999999999988</v>
      </c>
      <c r="L224">
        <f t="shared" si="11"/>
        <v>808.24799999999993</v>
      </c>
    </row>
    <row r="225" spans="1:12" x14ac:dyDescent="0.2">
      <c r="A225" t="s">
        <v>710</v>
      </c>
      <c r="B225" s="1">
        <v>45983</v>
      </c>
      <c r="C225" t="s">
        <v>856</v>
      </c>
      <c r="D225" t="s">
        <v>11</v>
      </c>
      <c r="E225" t="s">
        <v>56</v>
      </c>
      <c r="F225">
        <v>1461.35</v>
      </c>
      <c r="G225" s="2">
        <f t="shared" si="9"/>
        <v>1461.35</v>
      </c>
      <c r="H225">
        <v>10</v>
      </c>
      <c r="I225" s="3">
        <v>0.2</v>
      </c>
      <c r="J225">
        <v>4</v>
      </c>
      <c r="K225">
        <f t="shared" si="10"/>
        <v>14613.5</v>
      </c>
      <c r="L225">
        <f t="shared" si="11"/>
        <v>11690.800000000001</v>
      </c>
    </row>
    <row r="226" spans="1:12" x14ac:dyDescent="0.2">
      <c r="A226" t="s">
        <v>557</v>
      </c>
      <c r="B226" s="1">
        <v>45717</v>
      </c>
      <c r="C226" t="s">
        <v>856</v>
      </c>
      <c r="D226" t="s">
        <v>11</v>
      </c>
      <c r="E226" t="s">
        <v>22</v>
      </c>
      <c r="F226">
        <v>1215.43</v>
      </c>
      <c r="G226" s="2">
        <f t="shared" si="9"/>
        <v>1215.43</v>
      </c>
      <c r="H226">
        <v>1</v>
      </c>
      <c r="I226" s="3">
        <v>0</v>
      </c>
      <c r="J226">
        <v>1</v>
      </c>
      <c r="K226">
        <f t="shared" si="10"/>
        <v>1215.43</v>
      </c>
      <c r="L226">
        <f t="shared" si="11"/>
        <v>1215.43</v>
      </c>
    </row>
    <row r="227" spans="1:12" x14ac:dyDescent="0.2">
      <c r="A227" t="s">
        <v>562</v>
      </c>
      <c r="B227" s="1">
        <v>45717</v>
      </c>
      <c r="C227" t="s">
        <v>43</v>
      </c>
      <c r="D227" t="s">
        <v>15</v>
      </c>
      <c r="E227" t="s">
        <v>22</v>
      </c>
      <c r="F227">
        <v>274.56</v>
      </c>
      <c r="G227" s="2">
        <f t="shared" si="9"/>
        <v>274.56</v>
      </c>
      <c r="H227">
        <v>1</v>
      </c>
      <c r="I227" s="3">
        <v>0</v>
      </c>
      <c r="J227" t="s">
        <v>857</v>
      </c>
      <c r="K227">
        <f t="shared" si="10"/>
        <v>274.56</v>
      </c>
      <c r="L227">
        <f t="shared" si="11"/>
        <v>274.56</v>
      </c>
    </row>
    <row r="228" spans="1:12" x14ac:dyDescent="0.2">
      <c r="A228" t="s">
        <v>31</v>
      </c>
      <c r="B228" s="1">
        <v>45890</v>
      </c>
      <c r="C228" t="s">
        <v>32</v>
      </c>
      <c r="D228" t="s">
        <v>21</v>
      </c>
      <c r="E228" t="s">
        <v>22</v>
      </c>
      <c r="F228">
        <v>1542.49</v>
      </c>
      <c r="G228" s="2">
        <f t="shared" si="9"/>
        <v>1542.49</v>
      </c>
      <c r="H228">
        <v>3</v>
      </c>
      <c r="I228" s="3">
        <v>0.2</v>
      </c>
      <c r="J228" t="s">
        <v>857</v>
      </c>
      <c r="K228">
        <f t="shared" si="10"/>
        <v>4627.47</v>
      </c>
      <c r="L228">
        <f t="shared" si="11"/>
        <v>3701.9760000000006</v>
      </c>
    </row>
    <row r="229" spans="1:12" x14ac:dyDescent="0.2">
      <c r="A229" t="s">
        <v>250</v>
      </c>
      <c r="B229" s="1">
        <v>45737</v>
      </c>
      <c r="C229" t="s">
        <v>54</v>
      </c>
      <c r="D229" t="s">
        <v>15</v>
      </c>
      <c r="E229" t="s">
        <v>56</v>
      </c>
      <c r="F229">
        <v>397.57</v>
      </c>
      <c r="G229" s="2">
        <f t="shared" si="9"/>
        <v>397.57</v>
      </c>
      <c r="H229">
        <v>5</v>
      </c>
      <c r="I229" s="3">
        <v>0.2</v>
      </c>
      <c r="J229">
        <v>2</v>
      </c>
      <c r="K229">
        <f t="shared" si="10"/>
        <v>1987.85</v>
      </c>
      <c r="L229">
        <f t="shared" si="11"/>
        <v>1590.28</v>
      </c>
    </row>
    <row r="230" spans="1:12" x14ac:dyDescent="0.2">
      <c r="A230" t="s">
        <v>701</v>
      </c>
      <c r="B230" s="1">
        <v>45973</v>
      </c>
      <c r="C230" t="s">
        <v>10</v>
      </c>
      <c r="D230" t="s">
        <v>11</v>
      </c>
      <c r="E230" t="s">
        <v>22</v>
      </c>
      <c r="F230">
        <v>1024.71</v>
      </c>
      <c r="G230" s="2">
        <f t="shared" si="9"/>
        <v>1024.71</v>
      </c>
      <c r="H230">
        <v>5</v>
      </c>
      <c r="I230" s="3">
        <v>0</v>
      </c>
      <c r="J230">
        <v>1</v>
      </c>
      <c r="K230">
        <f t="shared" si="10"/>
        <v>5123.55</v>
      </c>
      <c r="L230">
        <f t="shared" si="11"/>
        <v>5123.55</v>
      </c>
    </row>
    <row r="231" spans="1:12" x14ac:dyDescent="0.2">
      <c r="A231" t="s">
        <v>658</v>
      </c>
      <c r="B231" s="1">
        <v>45769</v>
      </c>
      <c r="C231" t="s">
        <v>29</v>
      </c>
      <c r="D231" t="s">
        <v>15</v>
      </c>
      <c r="E231" t="s">
        <v>18</v>
      </c>
      <c r="G231" s="2">
        <f t="shared" si="9"/>
        <v>336.57634615384626</v>
      </c>
      <c r="H231">
        <v>10</v>
      </c>
      <c r="I231" s="3">
        <v>0.1</v>
      </c>
      <c r="J231">
        <v>4</v>
      </c>
      <c r="K231">
        <f t="shared" si="10"/>
        <v>3365.7634615384627</v>
      </c>
      <c r="L231">
        <f t="shared" si="11"/>
        <v>3029.1871153846164</v>
      </c>
    </row>
    <row r="232" spans="1:12" x14ac:dyDescent="0.2">
      <c r="A232" t="s">
        <v>164</v>
      </c>
      <c r="B232" s="1">
        <v>45708</v>
      </c>
      <c r="C232" t="s">
        <v>10</v>
      </c>
      <c r="D232" t="s">
        <v>11</v>
      </c>
      <c r="E232" t="s">
        <v>18</v>
      </c>
      <c r="F232">
        <v>1210.94</v>
      </c>
      <c r="G232" s="2">
        <f t="shared" si="9"/>
        <v>1210.94</v>
      </c>
      <c r="H232">
        <v>3</v>
      </c>
      <c r="I232" s="3">
        <v>0.15</v>
      </c>
      <c r="J232">
        <v>5</v>
      </c>
      <c r="K232">
        <f t="shared" si="10"/>
        <v>3632.82</v>
      </c>
      <c r="L232">
        <f t="shared" si="11"/>
        <v>3087.8969999999999</v>
      </c>
    </row>
    <row r="233" spans="1:12" x14ac:dyDescent="0.2">
      <c r="A233" t="s">
        <v>712</v>
      </c>
      <c r="B233" s="1">
        <v>45799</v>
      </c>
      <c r="C233" t="s">
        <v>34</v>
      </c>
      <c r="D233" t="s">
        <v>11</v>
      </c>
      <c r="E233" t="s">
        <v>22</v>
      </c>
      <c r="F233">
        <v>1043.6199999999999</v>
      </c>
      <c r="G233" s="2">
        <f t="shared" si="9"/>
        <v>1043.6199999999999</v>
      </c>
      <c r="H233">
        <v>2</v>
      </c>
      <c r="I233" s="3">
        <v>0</v>
      </c>
      <c r="J233">
        <v>5</v>
      </c>
      <c r="K233">
        <f t="shared" si="10"/>
        <v>2087.2399999999998</v>
      </c>
      <c r="L233">
        <f t="shared" si="11"/>
        <v>2087.2399999999998</v>
      </c>
    </row>
    <row r="234" spans="1:12" x14ac:dyDescent="0.2">
      <c r="A234" t="s">
        <v>727</v>
      </c>
      <c r="B234" s="1">
        <v>45766</v>
      </c>
      <c r="C234" t="s">
        <v>34</v>
      </c>
      <c r="D234" t="s">
        <v>11</v>
      </c>
      <c r="E234" t="s">
        <v>30</v>
      </c>
      <c r="G234" s="2">
        <f t="shared" si="9"/>
        <v>1206.3558695652175</v>
      </c>
      <c r="H234">
        <v>1</v>
      </c>
      <c r="I234" s="3">
        <v>0</v>
      </c>
      <c r="J234">
        <v>5</v>
      </c>
      <c r="K234">
        <f t="shared" si="10"/>
        <v>1206.3558695652175</v>
      </c>
      <c r="L234">
        <f t="shared" si="11"/>
        <v>1206.3558695652175</v>
      </c>
    </row>
    <row r="235" spans="1:12" x14ac:dyDescent="0.2">
      <c r="A235" t="s">
        <v>302</v>
      </c>
      <c r="B235" s="1">
        <v>45947</v>
      </c>
      <c r="C235" t="s">
        <v>32</v>
      </c>
      <c r="D235" t="s">
        <v>21</v>
      </c>
      <c r="E235" t="s">
        <v>30</v>
      </c>
      <c r="F235">
        <v>2028.21</v>
      </c>
      <c r="G235" s="2">
        <f t="shared" si="9"/>
        <v>2028.21</v>
      </c>
      <c r="H235">
        <v>2</v>
      </c>
      <c r="I235" s="3">
        <v>0</v>
      </c>
      <c r="J235" t="s">
        <v>857</v>
      </c>
      <c r="K235">
        <f t="shared" si="10"/>
        <v>4056.42</v>
      </c>
      <c r="L235">
        <f t="shared" si="11"/>
        <v>4056.42</v>
      </c>
    </row>
    <row r="236" spans="1:12" x14ac:dyDescent="0.2">
      <c r="A236" t="s">
        <v>286</v>
      </c>
      <c r="B236" s="1">
        <v>45768</v>
      </c>
      <c r="C236" t="s">
        <v>32</v>
      </c>
      <c r="D236" t="s">
        <v>21</v>
      </c>
      <c r="E236" t="s">
        <v>56</v>
      </c>
      <c r="F236">
        <v>1070.95</v>
      </c>
      <c r="G236" s="2">
        <f t="shared" si="9"/>
        <v>1070.95</v>
      </c>
      <c r="H236">
        <v>2</v>
      </c>
      <c r="I236" s="3">
        <v>0</v>
      </c>
      <c r="J236">
        <v>3</v>
      </c>
      <c r="K236">
        <f t="shared" si="10"/>
        <v>2141.9</v>
      </c>
      <c r="L236">
        <f t="shared" si="11"/>
        <v>2141.9</v>
      </c>
    </row>
    <row r="237" spans="1:12" x14ac:dyDescent="0.2">
      <c r="A237" t="s">
        <v>527</v>
      </c>
      <c r="B237" s="1">
        <v>45659</v>
      </c>
      <c r="C237" t="s">
        <v>10</v>
      </c>
      <c r="D237" t="s">
        <v>11</v>
      </c>
      <c r="E237" t="s">
        <v>56</v>
      </c>
      <c r="F237">
        <v>1244.75</v>
      </c>
      <c r="G237" s="2">
        <f t="shared" si="9"/>
        <v>1244.75</v>
      </c>
      <c r="H237">
        <v>2</v>
      </c>
      <c r="I237" s="3">
        <v>0</v>
      </c>
      <c r="J237">
        <v>3</v>
      </c>
      <c r="K237">
        <f t="shared" si="10"/>
        <v>2489.5</v>
      </c>
      <c r="L237">
        <f t="shared" si="11"/>
        <v>2489.5</v>
      </c>
    </row>
    <row r="238" spans="1:12" x14ac:dyDescent="0.2">
      <c r="A238" t="s">
        <v>595</v>
      </c>
      <c r="B238" s="1">
        <v>45747</v>
      </c>
      <c r="C238" t="s">
        <v>17</v>
      </c>
      <c r="D238" t="s">
        <v>11</v>
      </c>
      <c r="E238" t="s">
        <v>18</v>
      </c>
      <c r="F238">
        <v>1041.17</v>
      </c>
      <c r="G238" s="2">
        <f t="shared" si="9"/>
        <v>1041.17</v>
      </c>
      <c r="H238">
        <v>1</v>
      </c>
      <c r="I238" s="3">
        <v>0.2</v>
      </c>
      <c r="J238">
        <v>1</v>
      </c>
      <c r="K238">
        <f t="shared" si="10"/>
        <v>1041.17</v>
      </c>
      <c r="L238">
        <f t="shared" si="11"/>
        <v>832.93600000000015</v>
      </c>
    </row>
    <row r="239" spans="1:12" x14ac:dyDescent="0.2">
      <c r="A239" t="s">
        <v>264</v>
      </c>
      <c r="B239" s="1">
        <v>45841</v>
      </c>
      <c r="C239" t="s">
        <v>32</v>
      </c>
      <c r="D239" t="s">
        <v>21</v>
      </c>
      <c r="E239" t="s">
        <v>56</v>
      </c>
      <c r="F239">
        <v>2106.88</v>
      </c>
      <c r="G239" s="2">
        <f t="shared" si="9"/>
        <v>2106.88</v>
      </c>
      <c r="H239">
        <v>2</v>
      </c>
      <c r="I239" s="3">
        <v>0.15</v>
      </c>
      <c r="J239">
        <v>5</v>
      </c>
      <c r="K239">
        <f t="shared" si="10"/>
        <v>4213.76</v>
      </c>
      <c r="L239">
        <f t="shared" si="11"/>
        <v>3581.6959999999999</v>
      </c>
    </row>
    <row r="240" spans="1:12" x14ac:dyDescent="0.2">
      <c r="A240" t="s">
        <v>409</v>
      </c>
      <c r="B240" s="1">
        <v>45793</v>
      </c>
      <c r="C240" t="s">
        <v>34</v>
      </c>
      <c r="D240" t="s">
        <v>11</v>
      </c>
      <c r="E240" t="s">
        <v>30</v>
      </c>
      <c r="F240">
        <v>1009.8</v>
      </c>
      <c r="G240" s="2">
        <f t="shared" si="9"/>
        <v>1009.8</v>
      </c>
      <c r="H240">
        <v>1</v>
      </c>
      <c r="I240" s="3">
        <v>0</v>
      </c>
      <c r="J240">
        <v>5</v>
      </c>
      <c r="K240">
        <f t="shared" si="10"/>
        <v>1009.8</v>
      </c>
      <c r="L240">
        <f t="shared" si="11"/>
        <v>1009.8</v>
      </c>
    </row>
    <row r="241" spans="1:12" x14ac:dyDescent="0.2">
      <c r="A241" t="s">
        <v>578</v>
      </c>
      <c r="B241" s="1">
        <v>45690</v>
      </c>
      <c r="C241" t="s">
        <v>17</v>
      </c>
      <c r="D241" t="s">
        <v>11</v>
      </c>
      <c r="E241" t="s">
        <v>56</v>
      </c>
      <c r="F241">
        <v>1172.46</v>
      </c>
      <c r="G241" s="2">
        <f t="shared" si="9"/>
        <v>1172.46</v>
      </c>
      <c r="H241">
        <v>10</v>
      </c>
      <c r="I241" s="3">
        <v>0.1</v>
      </c>
      <c r="J241">
        <v>5</v>
      </c>
      <c r="K241">
        <f t="shared" si="10"/>
        <v>11724.6</v>
      </c>
      <c r="L241">
        <f t="shared" si="11"/>
        <v>10552.140000000001</v>
      </c>
    </row>
    <row r="242" spans="1:12" x14ac:dyDescent="0.2">
      <c r="A242" t="s">
        <v>109</v>
      </c>
      <c r="B242" s="1">
        <v>45713</v>
      </c>
      <c r="C242" t="s">
        <v>17</v>
      </c>
      <c r="D242" t="s">
        <v>11</v>
      </c>
      <c r="E242" t="s">
        <v>56</v>
      </c>
      <c r="F242">
        <v>1321.2</v>
      </c>
      <c r="G242" s="2">
        <f t="shared" si="9"/>
        <v>1321.2</v>
      </c>
      <c r="H242">
        <v>10</v>
      </c>
      <c r="I242" s="3">
        <v>0.15</v>
      </c>
      <c r="J242">
        <v>4</v>
      </c>
      <c r="K242">
        <f t="shared" si="10"/>
        <v>13212</v>
      </c>
      <c r="L242">
        <f t="shared" si="11"/>
        <v>11230.199999999999</v>
      </c>
    </row>
    <row r="243" spans="1:12" x14ac:dyDescent="0.2">
      <c r="A243" t="s">
        <v>109</v>
      </c>
      <c r="B243" s="1">
        <v>45713</v>
      </c>
      <c r="C243" t="s">
        <v>17</v>
      </c>
      <c r="D243" t="s">
        <v>11</v>
      </c>
      <c r="E243" t="s">
        <v>56</v>
      </c>
      <c r="F243">
        <v>1321.2</v>
      </c>
      <c r="G243" s="2">
        <f t="shared" si="9"/>
        <v>1321.2</v>
      </c>
      <c r="H243">
        <v>10</v>
      </c>
      <c r="I243" s="3">
        <v>0.15</v>
      </c>
      <c r="J243">
        <v>4</v>
      </c>
      <c r="K243">
        <f t="shared" si="10"/>
        <v>13212</v>
      </c>
      <c r="L243">
        <f t="shared" si="11"/>
        <v>11230.199999999999</v>
      </c>
    </row>
    <row r="244" spans="1:12" x14ac:dyDescent="0.2">
      <c r="A244" t="s">
        <v>434</v>
      </c>
      <c r="B244" s="1">
        <v>45995</v>
      </c>
      <c r="C244" t="s">
        <v>856</v>
      </c>
      <c r="D244" t="s">
        <v>11</v>
      </c>
      <c r="E244" t="s">
        <v>56</v>
      </c>
      <c r="G244" s="2">
        <f t="shared" si="9"/>
        <v>1225.2512631578948</v>
      </c>
      <c r="H244">
        <v>2</v>
      </c>
      <c r="I244" s="3">
        <v>0.1</v>
      </c>
      <c r="J244">
        <v>1</v>
      </c>
      <c r="K244">
        <f t="shared" si="10"/>
        <v>2450.5025263157895</v>
      </c>
      <c r="L244">
        <f t="shared" si="11"/>
        <v>2205.4522736842105</v>
      </c>
    </row>
    <row r="245" spans="1:12" x14ac:dyDescent="0.2">
      <c r="A245" t="s">
        <v>128</v>
      </c>
      <c r="B245" s="1">
        <v>45863</v>
      </c>
      <c r="C245" t="s">
        <v>34</v>
      </c>
      <c r="D245" t="s">
        <v>11</v>
      </c>
      <c r="E245" t="s">
        <v>22</v>
      </c>
      <c r="F245">
        <v>911.93</v>
      </c>
      <c r="G245" s="2">
        <f t="shared" si="9"/>
        <v>911.93</v>
      </c>
      <c r="H245">
        <v>5</v>
      </c>
      <c r="I245" s="3">
        <v>0.2</v>
      </c>
      <c r="J245">
        <v>2</v>
      </c>
      <c r="K245">
        <f t="shared" si="10"/>
        <v>4559.6499999999996</v>
      </c>
      <c r="L245">
        <f t="shared" si="11"/>
        <v>3647.72</v>
      </c>
    </row>
    <row r="246" spans="1:12" x14ac:dyDescent="0.2">
      <c r="A246" t="s">
        <v>414</v>
      </c>
      <c r="B246" s="1">
        <v>45885</v>
      </c>
      <c r="C246" t="s">
        <v>14</v>
      </c>
      <c r="D246" t="s">
        <v>15</v>
      </c>
      <c r="E246" t="s">
        <v>30</v>
      </c>
      <c r="F246">
        <v>326.58</v>
      </c>
      <c r="G246" s="2">
        <f t="shared" si="9"/>
        <v>326.58</v>
      </c>
      <c r="H246">
        <v>1</v>
      </c>
      <c r="I246" s="3">
        <v>0</v>
      </c>
      <c r="J246">
        <v>5</v>
      </c>
      <c r="K246">
        <f t="shared" si="10"/>
        <v>326.58</v>
      </c>
      <c r="L246">
        <f t="shared" si="11"/>
        <v>326.58</v>
      </c>
    </row>
    <row r="247" spans="1:12" x14ac:dyDescent="0.2">
      <c r="A247" t="s">
        <v>597</v>
      </c>
      <c r="B247" s="1">
        <v>45691</v>
      </c>
      <c r="C247" t="s">
        <v>856</v>
      </c>
      <c r="D247" t="s">
        <v>11</v>
      </c>
      <c r="E247" t="s">
        <v>30</v>
      </c>
      <c r="F247">
        <v>1086.01</v>
      </c>
      <c r="G247" s="2">
        <f t="shared" si="9"/>
        <v>1086.01</v>
      </c>
      <c r="H247">
        <v>1</v>
      </c>
      <c r="I247" s="3">
        <v>0</v>
      </c>
      <c r="J247" t="s">
        <v>857</v>
      </c>
      <c r="K247">
        <f t="shared" si="10"/>
        <v>1086.01</v>
      </c>
      <c r="L247">
        <f t="shared" si="11"/>
        <v>1086.01</v>
      </c>
    </row>
    <row r="248" spans="1:12" x14ac:dyDescent="0.2">
      <c r="A248" t="s">
        <v>706</v>
      </c>
      <c r="B248" s="1">
        <v>45853</v>
      </c>
      <c r="C248" t="s">
        <v>29</v>
      </c>
      <c r="D248" t="s">
        <v>15</v>
      </c>
      <c r="E248" t="s">
        <v>18</v>
      </c>
      <c r="F248">
        <v>304.27</v>
      </c>
      <c r="G248" s="2">
        <f t="shared" si="9"/>
        <v>304.27</v>
      </c>
      <c r="H248">
        <v>2</v>
      </c>
      <c r="I248" s="3">
        <v>0.1</v>
      </c>
      <c r="J248" t="s">
        <v>857</v>
      </c>
      <c r="K248">
        <f t="shared" si="10"/>
        <v>608.54</v>
      </c>
      <c r="L248">
        <f t="shared" si="11"/>
        <v>547.68600000000004</v>
      </c>
    </row>
    <row r="249" spans="1:12" x14ac:dyDescent="0.2">
      <c r="A249" t="s">
        <v>330</v>
      </c>
      <c r="B249" s="1">
        <v>45708</v>
      </c>
      <c r="C249" t="s">
        <v>856</v>
      </c>
      <c r="D249" t="s">
        <v>11</v>
      </c>
      <c r="E249" t="s">
        <v>860</v>
      </c>
      <c r="F249">
        <v>1623.71</v>
      </c>
      <c r="G249" s="2">
        <f t="shared" si="9"/>
        <v>1623.71</v>
      </c>
      <c r="H249">
        <v>1</v>
      </c>
      <c r="I249" s="3">
        <v>0.2</v>
      </c>
      <c r="J249" t="s">
        <v>857</v>
      </c>
      <c r="K249">
        <f t="shared" si="10"/>
        <v>1623.71</v>
      </c>
      <c r="L249">
        <f t="shared" si="11"/>
        <v>1298.9680000000001</v>
      </c>
    </row>
    <row r="250" spans="1:12" x14ac:dyDescent="0.2">
      <c r="A250" t="s">
        <v>331</v>
      </c>
      <c r="B250" s="1">
        <v>45768</v>
      </c>
      <c r="C250" t="s">
        <v>29</v>
      </c>
      <c r="D250" t="s">
        <v>15</v>
      </c>
      <c r="E250" t="s">
        <v>18</v>
      </c>
      <c r="F250">
        <v>378.35</v>
      </c>
      <c r="G250" s="2">
        <f t="shared" si="9"/>
        <v>378.35</v>
      </c>
      <c r="H250">
        <v>5</v>
      </c>
      <c r="I250" s="3">
        <v>0.1</v>
      </c>
      <c r="J250">
        <v>4</v>
      </c>
      <c r="K250">
        <f t="shared" si="10"/>
        <v>1891.75</v>
      </c>
      <c r="L250">
        <f t="shared" si="11"/>
        <v>1702.575</v>
      </c>
    </row>
    <row r="251" spans="1:12" x14ac:dyDescent="0.2">
      <c r="A251" t="s">
        <v>832</v>
      </c>
      <c r="B251" s="1">
        <v>45890</v>
      </c>
      <c r="C251" t="s">
        <v>54</v>
      </c>
      <c r="D251" t="s">
        <v>15</v>
      </c>
      <c r="E251" t="s">
        <v>18</v>
      </c>
      <c r="F251">
        <v>261.74</v>
      </c>
      <c r="G251" s="2">
        <f t="shared" si="9"/>
        <v>261.74</v>
      </c>
      <c r="H251">
        <v>5</v>
      </c>
      <c r="I251" s="3">
        <v>0.1</v>
      </c>
      <c r="J251">
        <v>2</v>
      </c>
      <c r="K251">
        <f t="shared" si="10"/>
        <v>1308.7</v>
      </c>
      <c r="L251">
        <f t="shared" si="11"/>
        <v>1177.8300000000002</v>
      </c>
    </row>
    <row r="252" spans="1:12" x14ac:dyDescent="0.2">
      <c r="A252" t="s">
        <v>66</v>
      </c>
      <c r="B252" s="1">
        <v>45818</v>
      </c>
      <c r="C252" t="s">
        <v>43</v>
      </c>
      <c r="D252" t="s">
        <v>15</v>
      </c>
      <c r="E252" t="s">
        <v>22</v>
      </c>
      <c r="G252" s="2">
        <f t="shared" si="9"/>
        <v>362.89299999999997</v>
      </c>
      <c r="H252">
        <v>2</v>
      </c>
      <c r="I252" s="3">
        <v>0</v>
      </c>
      <c r="J252">
        <v>3</v>
      </c>
      <c r="K252">
        <f t="shared" si="10"/>
        <v>725.78599999999994</v>
      </c>
      <c r="L252">
        <f t="shared" si="11"/>
        <v>725.78599999999994</v>
      </c>
    </row>
    <row r="253" spans="1:12" x14ac:dyDescent="0.2">
      <c r="A253" t="s">
        <v>117</v>
      </c>
      <c r="B253" s="1">
        <v>45692</v>
      </c>
      <c r="C253" t="s">
        <v>856</v>
      </c>
      <c r="D253" t="s">
        <v>11</v>
      </c>
      <c r="E253" t="s">
        <v>22</v>
      </c>
      <c r="F253">
        <v>1709.32</v>
      </c>
      <c r="G253" s="2">
        <f t="shared" si="9"/>
        <v>1709.32</v>
      </c>
      <c r="H253">
        <v>1</v>
      </c>
      <c r="I253" s="3">
        <v>0</v>
      </c>
      <c r="J253">
        <v>2</v>
      </c>
      <c r="K253">
        <f t="shared" si="10"/>
        <v>1709.32</v>
      </c>
      <c r="L253">
        <f t="shared" si="11"/>
        <v>1709.32</v>
      </c>
    </row>
    <row r="254" spans="1:12" x14ac:dyDescent="0.2">
      <c r="A254" t="s">
        <v>82</v>
      </c>
      <c r="B254" s="1">
        <v>45848</v>
      </c>
      <c r="C254" t="s">
        <v>54</v>
      </c>
      <c r="D254" t="s">
        <v>15</v>
      </c>
      <c r="E254" t="s">
        <v>56</v>
      </c>
      <c r="F254">
        <v>422.27</v>
      </c>
      <c r="G254" s="2">
        <f t="shared" si="9"/>
        <v>422.27</v>
      </c>
      <c r="H254">
        <v>1</v>
      </c>
      <c r="I254" s="3">
        <v>0.15</v>
      </c>
      <c r="J254">
        <v>1</v>
      </c>
      <c r="K254">
        <f t="shared" si="10"/>
        <v>422.27</v>
      </c>
      <c r="L254">
        <f t="shared" si="11"/>
        <v>358.92949999999996</v>
      </c>
    </row>
    <row r="255" spans="1:12" x14ac:dyDescent="0.2">
      <c r="A255" t="s">
        <v>530</v>
      </c>
      <c r="B255" s="1">
        <v>45945</v>
      </c>
      <c r="C255" t="s">
        <v>856</v>
      </c>
      <c r="D255" t="s">
        <v>11</v>
      </c>
      <c r="E255" t="s">
        <v>56</v>
      </c>
      <c r="F255">
        <v>835.35</v>
      </c>
      <c r="G255" s="2">
        <f t="shared" si="9"/>
        <v>835.35</v>
      </c>
      <c r="H255">
        <v>3</v>
      </c>
      <c r="I255" s="3">
        <v>0.2</v>
      </c>
      <c r="J255">
        <v>2</v>
      </c>
      <c r="K255">
        <f t="shared" si="10"/>
        <v>2506.0500000000002</v>
      </c>
      <c r="L255">
        <f t="shared" si="11"/>
        <v>2004.8400000000001</v>
      </c>
    </row>
    <row r="256" spans="1:12" x14ac:dyDescent="0.2">
      <c r="A256" t="s">
        <v>674</v>
      </c>
      <c r="B256" s="1">
        <v>45998</v>
      </c>
      <c r="C256" t="s">
        <v>54</v>
      </c>
      <c r="D256" t="s">
        <v>15</v>
      </c>
      <c r="E256" t="s">
        <v>18</v>
      </c>
      <c r="F256">
        <v>316.10000000000002</v>
      </c>
      <c r="G256" s="2">
        <f t="shared" si="9"/>
        <v>316.10000000000002</v>
      </c>
      <c r="H256">
        <v>5</v>
      </c>
      <c r="I256" s="3">
        <v>0.2</v>
      </c>
      <c r="J256">
        <v>1</v>
      </c>
      <c r="K256">
        <f t="shared" si="10"/>
        <v>1580.5</v>
      </c>
      <c r="L256">
        <f t="shared" si="11"/>
        <v>1264.4000000000001</v>
      </c>
    </row>
    <row r="257" spans="1:12" x14ac:dyDescent="0.2">
      <c r="A257" t="s">
        <v>133</v>
      </c>
      <c r="B257" s="1">
        <v>45817</v>
      </c>
      <c r="C257" t="s">
        <v>43</v>
      </c>
      <c r="D257" t="s">
        <v>15</v>
      </c>
      <c r="E257" t="s">
        <v>56</v>
      </c>
      <c r="F257">
        <v>438.68</v>
      </c>
      <c r="G257" s="2">
        <f t="shared" si="9"/>
        <v>438.68</v>
      </c>
      <c r="H257">
        <v>3</v>
      </c>
      <c r="I257" s="3">
        <v>0</v>
      </c>
      <c r="J257" t="s">
        <v>857</v>
      </c>
      <c r="K257">
        <f t="shared" si="10"/>
        <v>1316.04</v>
      </c>
      <c r="L257">
        <f t="shared" si="11"/>
        <v>1316.04</v>
      </c>
    </row>
    <row r="258" spans="1:12" x14ac:dyDescent="0.2">
      <c r="A258" t="s">
        <v>809</v>
      </c>
      <c r="B258" s="1">
        <v>45994</v>
      </c>
      <c r="C258" t="s">
        <v>32</v>
      </c>
      <c r="D258" t="s">
        <v>21</v>
      </c>
      <c r="E258" t="s">
        <v>30</v>
      </c>
      <c r="F258">
        <v>1545.24</v>
      </c>
      <c r="G258" s="2">
        <f t="shared" ref="G258:G321" si="12">IF(F258="", AVERAGEIF(C:C, C258, F:F), F258)</f>
        <v>1545.24</v>
      </c>
      <c r="H258">
        <v>10</v>
      </c>
      <c r="I258" s="3">
        <v>0</v>
      </c>
      <c r="J258">
        <v>2</v>
      </c>
      <c r="K258">
        <f t="shared" si="10"/>
        <v>15452.4</v>
      </c>
      <c r="L258">
        <f t="shared" si="11"/>
        <v>15452.4</v>
      </c>
    </row>
    <row r="259" spans="1:12" x14ac:dyDescent="0.2">
      <c r="A259" t="s">
        <v>473</v>
      </c>
      <c r="B259" s="1">
        <v>45942</v>
      </c>
      <c r="C259" t="s">
        <v>43</v>
      </c>
      <c r="D259" t="s">
        <v>15</v>
      </c>
      <c r="E259" t="s">
        <v>18</v>
      </c>
      <c r="F259">
        <v>381.07</v>
      </c>
      <c r="G259" s="2">
        <f t="shared" si="12"/>
        <v>381.07</v>
      </c>
      <c r="H259">
        <v>3</v>
      </c>
      <c r="I259" s="3">
        <v>0</v>
      </c>
      <c r="J259">
        <v>4</v>
      </c>
      <c r="K259">
        <f t="shared" ref="K259:K322" si="13">G259*H259</f>
        <v>1143.21</v>
      </c>
      <c r="L259">
        <f t="shared" ref="L259:L322" si="14">G259*H259*(1-I259)</f>
        <v>1143.21</v>
      </c>
    </row>
    <row r="260" spans="1:12" x14ac:dyDescent="0.2">
      <c r="A260" t="s">
        <v>200</v>
      </c>
      <c r="B260" s="1">
        <v>45877</v>
      </c>
      <c r="C260" t="s">
        <v>856</v>
      </c>
      <c r="D260" t="s">
        <v>11</v>
      </c>
      <c r="E260" t="s">
        <v>30</v>
      </c>
      <c r="G260" s="2">
        <f t="shared" si="12"/>
        <v>1225.2512631578948</v>
      </c>
      <c r="H260">
        <v>1</v>
      </c>
      <c r="I260" s="3">
        <v>0.15</v>
      </c>
      <c r="J260">
        <v>4</v>
      </c>
      <c r="K260">
        <f t="shared" si="13"/>
        <v>1225.2512631578948</v>
      </c>
      <c r="L260">
        <f t="shared" si="14"/>
        <v>1041.4635736842106</v>
      </c>
    </row>
    <row r="261" spans="1:12" x14ac:dyDescent="0.2">
      <c r="A261" t="s">
        <v>763</v>
      </c>
      <c r="B261" s="1">
        <v>45797</v>
      </c>
      <c r="C261" t="s">
        <v>34</v>
      </c>
      <c r="D261" t="s">
        <v>11</v>
      </c>
      <c r="E261" t="s">
        <v>30</v>
      </c>
      <c r="F261">
        <v>977.54</v>
      </c>
      <c r="G261" s="2">
        <f t="shared" si="12"/>
        <v>977.54</v>
      </c>
      <c r="H261">
        <v>2</v>
      </c>
      <c r="I261" s="3">
        <v>0</v>
      </c>
      <c r="J261">
        <v>5</v>
      </c>
      <c r="K261">
        <f t="shared" si="13"/>
        <v>1955.08</v>
      </c>
      <c r="L261">
        <f t="shared" si="14"/>
        <v>1955.08</v>
      </c>
    </row>
    <row r="262" spans="1:12" x14ac:dyDescent="0.2">
      <c r="A262" t="s">
        <v>227</v>
      </c>
      <c r="B262" s="1">
        <v>45731</v>
      </c>
      <c r="C262" t="s">
        <v>34</v>
      </c>
      <c r="D262" t="s">
        <v>11</v>
      </c>
      <c r="E262" t="s">
        <v>30</v>
      </c>
      <c r="F262">
        <v>1185.71</v>
      </c>
      <c r="G262" s="2">
        <f t="shared" si="12"/>
        <v>1185.71</v>
      </c>
      <c r="H262">
        <v>5</v>
      </c>
      <c r="I262" s="3">
        <v>0</v>
      </c>
      <c r="J262">
        <v>3</v>
      </c>
      <c r="K262">
        <f t="shared" si="13"/>
        <v>5928.55</v>
      </c>
      <c r="L262">
        <f t="shared" si="14"/>
        <v>5928.55</v>
      </c>
    </row>
    <row r="263" spans="1:12" x14ac:dyDescent="0.2">
      <c r="A263" t="s">
        <v>368</v>
      </c>
      <c r="B263" s="1">
        <v>45673</v>
      </c>
      <c r="C263" t="s">
        <v>29</v>
      </c>
      <c r="D263" t="s">
        <v>15</v>
      </c>
      <c r="E263" t="s">
        <v>30</v>
      </c>
      <c r="F263">
        <v>123.11</v>
      </c>
      <c r="G263" s="2">
        <f t="shared" si="12"/>
        <v>123.11</v>
      </c>
      <c r="H263">
        <v>1</v>
      </c>
      <c r="I263" s="3">
        <v>0.2</v>
      </c>
      <c r="J263" t="s">
        <v>857</v>
      </c>
      <c r="K263">
        <f t="shared" si="13"/>
        <v>123.11</v>
      </c>
      <c r="L263">
        <f t="shared" si="14"/>
        <v>98.488</v>
      </c>
    </row>
    <row r="264" spans="1:12" x14ac:dyDescent="0.2">
      <c r="A264" t="s">
        <v>206</v>
      </c>
      <c r="B264" s="1">
        <v>45872</v>
      </c>
      <c r="C264" t="s">
        <v>32</v>
      </c>
      <c r="D264" t="s">
        <v>21</v>
      </c>
      <c r="E264" t="s">
        <v>22</v>
      </c>
      <c r="F264">
        <v>1431.22</v>
      </c>
      <c r="G264" s="2">
        <f t="shared" si="12"/>
        <v>1431.22</v>
      </c>
      <c r="H264">
        <v>10</v>
      </c>
      <c r="I264" s="3">
        <v>0</v>
      </c>
      <c r="J264">
        <v>3</v>
      </c>
      <c r="K264">
        <f t="shared" si="13"/>
        <v>14312.2</v>
      </c>
      <c r="L264">
        <f t="shared" si="14"/>
        <v>14312.2</v>
      </c>
    </row>
    <row r="265" spans="1:12" x14ac:dyDescent="0.2">
      <c r="A265" t="s">
        <v>23</v>
      </c>
      <c r="B265" s="1">
        <v>45824</v>
      </c>
      <c r="C265" t="s">
        <v>43</v>
      </c>
      <c r="D265" t="s">
        <v>15</v>
      </c>
      <c r="E265" t="s">
        <v>18</v>
      </c>
      <c r="F265">
        <v>332.32</v>
      </c>
      <c r="G265" s="2">
        <f t="shared" si="12"/>
        <v>332.32</v>
      </c>
      <c r="H265">
        <v>1</v>
      </c>
      <c r="I265" s="3">
        <v>0</v>
      </c>
      <c r="J265">
        <v>3</v>
      </c>
      <c r="K265">
        <f t="shared" si="13"/>
        <v>332.32</v>
      </c>
      <c r="L265">
        <f t="shared" si="14"/>
        <v>332.32</v>
      </c>
    </row>
    <row r="266" spans="1:12" x14ac:dyDescent="0.2">
      <c r="A266" t="s">
        <v>683</v>
      </c>
      <c r="B266" s="1">
        <v>45974</v>
      </c>
      <c r="C266" t="s">
        <v>32</v>
      </c>
      <c r="D266" t="s">
        <v>21</v>
      </c>
      <c r="E266" t="s">
        <v>18</v>
      </c>
      <c r="F266">
        <v>1350.8</v>
      </c>
      <c r="G266" s="2">
        <f t="shared" si="12"/>
        <v>1350.8</v>
      </c>
      <c r="H266">
        <v>1</v>
      </c>
      <c r="I266" s="3">
        <v>0.2</v>
      </c>
      <c r="J266">
        <v>2</v>
      </c>
      <c r="K266">
        <f t="shared" si="13"/>
        <v>1350.8</v>
      </c>
      <c r="L266">
        <f t="shared" si="14"/>
        <v>1080.6400000000001</v>
      </c>
    </row>
    <row r="267" spans="1:12" x14ac:dyDescent="0.2">
      <c r="A267" t="s">
        <v>670</v>
      </c>
      <c r="B267" s="1">
        <v>45996</v>
      </c>
      <c r="C267" t="s">
        <v>43</v>
      </c>
      <c r="D267" t="s">
        <v>15</v>
      </c>
      <c r="E267" t="s">
        <v>860</v>
      </c>
      <c r="F267">
        <v>464.27</v>
      </c>
      <c r="G267" s="2">
        <f t="shared" si="12"/>
        <v>464.27</v>
      </c>
      <c r="H267">
        <v>5</v>
      </c>
      <c r="I267" s="3">
        <v>0.1</v>
      </c>
      <c r="J267">
        <v>5</v>
      </c>
      <c r="K267">
        <f t="shared" si="13"/>
        <v>2321.35</v>
      </c>
      <c r="L267">
        <f t="shared" si="14"/>
        <v>2089.2150000000001</v>
      </c>
    </row>
    <row r="268" spans="1:12" x14ac:dyDescent="0.2">
      <c r="A268" t="s">
        <v>572</v>
      </c>
      <c r="B268" s="1">
        <v>45768</v>
      </c>
      <c r="C268" t="s">
        <v>54</v>
      </c>
      <c r="D268" t="s">
        <v>15</v>
      </c>
      <c r="E268" t="s">
        <v>18</v>
      </c>
      <c r="F268">
        <v>249.89</v>
      </c>
      <c r="G268" s="2">
        <f t="shared" si="12"/>
        <v>249.89</v>
      </c>
      <c r="H268">
        <v>1</v>
      </c>
      <c r="I268" s="3">
        <v>0</v>
      </c>
      <c r="J268">
        <v>5</v>
      </c>
      <c r="K268">
        <f t="shared" si="13"/>
        <v>249.89</v>
      </c>
      <c r="L268">
        <f t="shared" si="14"/>
        <v>249.89</v>
      </c>
    </row>
    <row r="269" spans="1:12" x14ac:dyDescent="0.2">
      <c r="A269" t="s">
        <v>558</v>
      </c>
      <c r="B269" s="1">
        <v>46005</v>
      </c>
      <c r="C269" t="s">
        <v>34</v>
      </c>
      <c r="D269" t="s">
        <v>11</v>
      </c>
      <c r="E269" t="s">
        <v>18</v>
      </c>
      <c r="G269" s="2">
        <f t="shared" si="12"/>
        <v>1206.3558695652175</v>
      </c>
      <c r="H269">
        <v>10</v>
      </c>
      <c r="I269" s="3">
        <v>0.15</v>
      </c>
      <c r="J269">
        <v>4</v>
      </c>
      <c r="K269">
        <f t="shared" si="13"/>
        <v>12063.558695652175</v>
      </c>
      <c r="L269">
        <f t="shared" si="14"/>
        <v>10254.024891304349</v>
      </c>
    </row>
    <row r="270" spans="1:12" x14ac:dyDescent="0.2">
      <c r="A270" t="s">
        <v>682</v>
      </c>
      <c r="B270" s="1">
        <v>45860</v>
      </c>
      <c r="C270" t="s">
        <v>34</v>
      </c>
      <c r="D270" t="s">
        <v>11</v>
      </c>
      <c r="E270" t="s">
        <v>30</v>
      </c>
      <c r="F270">
        <v>1231.3800000000001</v>
      </c>
      <c r="G270" s="2">
        <f t="shared" si="12"/>
        <v>1231.3800000000001</v>
      </c>
      <c r="H270">
        <v>1</v>
      </c>
      <c r="I270" s="3">
        <v>0</v>
      </c>
      <c r="J270">
        <v>4</v>
      </c>
      <c r="K270">
        <f t="shared" si="13"/>
        <v>1231.3800000000001</v>
      </c>
      <c r="L270">
        <f t="shared" si="14"/>
        <v>1231.3800000000001</v>
      </c>
    </row>
    <row r="271" spans="1:12" x14ac:dyDescent="0.2">
      <c r="A271" t="s">
        <v>65</v>
      </c>
      <c r="B271" s="1">
        <v>45912</v>
      </c>
      <c r="C271" t="s">
        <v>34</v>
      </c>
      <c r="D271" t="s">
        <v>11</v>
      </c>
      <c r="E271" t="s">
        <v>56</v>
      </c>
      <c r="F271">
        <v>855.39</v>
      </c>
      <c r="G271" s="2">
        <f t="shared" si="12"/>
        <v>855.39</v>
      </c>
      <c r="H271">
        <v>5</v>
      </c>
      <c r="I271" s="3">
        <v>0</v>
      </c>
      <c r="J271">
        <v>3</v>
      </c>
      <c r="K271">
        <f t="shared" si="13"/>
        <v>4276.95</v>
      </c>
      <c r="L271">
        <f t="shared" si="14"/>
        <v>4276.95</v>
      </c>
    </row>
    <row r="272" spans="1:12" x14ac:dyDescent="0.2">
      <c r="A272" t="s">
        <v>189</v>
      </c>
      <c r="B272" s="1">
        <v>46018</v>
      </c>
      <c r="C272" t="s">
        <v>54</v>
      </c>
      <c r="D272" t="s">
        <v>15</v>
      </c>
      <c r="E272" t="s">
        <v>56</v>
      </c>
      <c r="F272">
        <v>431.42</v>
      </c>
      <c r="G272" s="2">
        <f t="shared" si="12"/>
        <v>431.42</v>
      </c>
      <c r="H272">
        <v>2</v>
      </c>
      <c r="I272" s="3">
        <v>0.15</v>
      </c>
      <c r="J272" t="s">
        <v>857</v>
      </c>
      <c r="K272">
        <f t="shared" si="13"/>
        <v>862.84</v>
      </c>
      <c r="L272">
        <f t="shared" si="14"/>
        <v>733.41399999999999</v>
      </c>
    </row>
    <row r="273" spans="1:12" x14ac:dyDescent="0.2">
      <c r="A273" t="s">
        <v>213</v>
      </c>
      <c r="B273" s="1">
        <v>45839</v>
      </c>
      <c r="C273" t="s">
        <v>10</v>
      </c>
      <c r="D273" t="s">
        <v>11</v>
      </c>
      <c r="E273" t="s">
        <v>30</v>
      </c>
      <c r="F273">
        <v>1202.46</v>
      </c>
      <c r="G273" s="2">
        <f t="shared" si="12"/>
        <v>1202.46</v>
      </c>
      <c r="H273">
        <v>1</v>
      </c>
      <c r="I273" s="3">
        <v>0.1</v>
      </c>
      <c r="J273">
        <v>1</v>
      </c>
      <c r="K273">
        <f t="shared" si="13"/>
        <v>1202.46</v>
      </c>
      <c r="L273">
        <f t="shared" si="14"/>
        <v>1082.2140000000002</v>
      </c>
    </row>
    <row r="274" spans="1:12" x14ac:dyDescent="0.2">
      <c r="A274" t="s">
        <v>607</v>
      </c>
      <c r="B274" s="1">
        <v>45893</v>
      </c>
      <c r="C274" t="s">
        <v>54</v>
      </c>
      <c r="D274" t="s">
        <v>15</v>
      </c>
      <c r="E274" t="s">
        <v>56</v>
      </c>
      <c r="F274">
        <v>281.29000000000002</v>
      </c>
      <c r="G274" s="2">
        <f t="shared" si="12"/>
        <v>281.29000000000002</v>
      </c>
      <c r="H274">
        <v>1</v>
      </c>
      <c r="I274" s="3">
        <v>0</v>
      </c>
      <c r="J274">
        <v>5</v>
      </c>
      <c r="K274">
        <f t="shared" si="13"/>
        <v>281.29000000000002</v>
      </c>
      <c r="L274">
        <f t="shared" si="14"/>
        <v>281.29000000000002</v>
      </c>
    </row>
    <row r="275" spans="1:12" x14ac:dyDescent="0.2">
      <c r="A275" t="s">
        <v>565</v>
      </c>
      <c r="B275" s="1">
        <v>46021</v>
      </c>
      <c r="C275" t="s">
        <v>856</v>
      </c>
      <c r="D275" t="s">
        <v>11</v>
      </c>
      <c r="E275" t="s">
        <v>22</v>
      </c>
      <c r="F275">
        <v>1310.9</v>
      </c>
      <c r="G275" s="2">
        <f t="shared" si="12"/>
        <v>1310.9</v>
      </c>
      <c r="H275">
        <v>5</v>
      </c>
      <c r="I275" s="3">
        <v>0</v>
      </c>
      <c r="J275">
        <v>2</v>
      </c>
      <c r="K275">
        <f t="shared" si="13"/>
        <v>6554.5</v>
      </c>
      <c r="L275">
        <f t="shared" si="14"/>
        <v>6554.5</v>
      </c>
    </row>
    <row r="276" spans="1:12" x14ac:dyDescent="0.2">
      <c r="A276" t="s">
        <v>766</v>
      </c>
      <c r="B276" s="1">
        <v>45824</v>
      </c>
      <c r="C276" t="s">
        <v>54</v>
      </c>
      <c r="D276" t="s">
        <v>15</v>
      </c>
      <c r="E276" t="s">
        <v>56</v>
      </c>
      <c r="F276">
        <v>363.93</v>
      </c>
      <c r="G276" s="2">
        <f t="shared" si="12"/>
        <v>363.93</v>
      </c>
      <c r="H276">
        <v>1</v>
      </c>
      <c r="I276" s="3">
        <v>0.15</v>
      </c>
      <c r="J276">
        <v>5</v>
      </c>
      <c r="K276">
        <f t="shared" si="13"/>
        <v>363.93</v>
      </c>
      <c r="L276">
        <f t="shared" si="14"/>
        <v>309.34050000000002</v>
      </c>
    </row>
    <row r="277" spans="1:12" x14ac:dyDescent="0.2">
      <c r="A277" t="s">
        <v>216</v>
      </c>
      <c r="B277" s="1">
        <v>45843</v>
      </c>
      <c r="C277" t="s">
        <v>10</v>
      </c>
      <c r="D277" t="s">
        <v>11</v>
      </c>
      <c r="E277" t="s">
        <v>30</v>
      </c>
      <c r="F277">
        <v>1055.95</v>
      </c>
      <c r="G277" s="2">
        <f t="shared" si="12"/>
        <v>1055.95</v>
      </c>
      <c r="H277">
        <v>1</v>
      </c>
      <c r="I277" s="3">
        <v>0.1</v>
      </c>
      <c r="J277">
        <v>2</v>
      </c>
      <c r="K277">
        <f t="shared" si="13"/>
        <v>1055.95</v>
      </c>
      <c r="L277">
        <f t="shared" si="14"/>
        <v>950.35500000000002</v>
      </c>
    </row>
    <row r="278" spans="1:12" x14ac:dyDescent="0.2">
      <c r="A278" t="s">
        <v>19</v>
      </c>
      <c r="B278" s="1">
        <v>45959</v>
      </c>
      <c r="C278" t="s">
        <v>32</v>
      </c>
      <c r="D278" t="s">
        <v>21</v>
      </c>
      <c r="E278" t="s">
        <v>22</v>
      </c>
      <c r="F278">
        <v>1825.13</v>
      </c>
      <c r="G278" s="2">
        <f t="shared" si="12"/>
        <v>1825.13</v>
      </c>
      <c r="H278">
        <v>5</v>
      </c>
      <c r="I278" s="3">
        <v>0.15</v>
      </c>
      <c r="J278">
        <v>2</v>
      </c>
      <c r="K278">
        <f t="shared" si="13"/>
        <v>9125.6500000000015</v>
      </c>
      <c r="L278">
        <f t="shared" si="14"/>
        <v>7756.8025000000007</v>
      </c>
    </row>
    <row r="279" spans="1:12" x14ac:dyDescent="0.2">
      <c r="A279" t="s">
        <v>803</v>
      </c>
      <c r="B279" s="1">
        <v>45816</v>
      </c>
      <c r="C279" t="s">
        <v>54</v>
      </c>
      <c r="D279" t="s">
        <v>15</v>
      </c>
      <c r="E279" t="s">
        <v>18</v>
      </c>
      <c r="G279" s="2">
        <f t="shared" si="12"/>
        <v>351.86434782608688</v>
      </c>
      <c r="H279">
        <v>3</v>
      </c>
      <c r="I279" s="3">
        <v>0</v>
      </c>
      <c r="J279">
        <v>5</v>
      </c>
      <c r="K279">
        <f t="shared" si="13"/>
        <v>1055.5930434782606</v>
      </c>
      <c r="L279">
        <f t="shared" si="14"/>
        <v>1055.5930434782606</v>
      </c>
    </row>
    <row r="280" spans="1:12" x14ac:dyDescent="0.2">
      <c r="A280" t="s">
        <v>353</v>
      </c>
      <c r="B280" s="1">
        <v>45697</v>
      </c>
      <c r="C280" t="s">
        <v>10</v>
      </c>
      <c r="D280" t="s">
        <v>11</v>
      </c>
      <c r="E280" t="s">
        <v>30</v>
      </c>
      <c r="F280">
        <v>1227.24</v>
      </c>
      <c r="G280" s="2">
        <f t="shared" si="12"/>
        <v>1227.24</v>
      </c>
      <c r="H280">
        <v>1</v>
      </c>
      <c r="I280" s="3">
        <v>0.15</v>
      </c>
      <c r="J280" t="s">
        <v>857</v>
      </c>
      <c r="K280">
        <f t="shared" si="13"/>
        <v>1227.24</v>
      </c>
      <c r="L280">
        <f t="shared" si="14"/>
        <v>1043.154</v>
      </c>
    </row>
    <row r="281" spans="1:12" x14ac:dyDescent="0.2">
      <c r="A281" t="s">
        <v>382</v>
      </c>
      <c r="B281" s="1">
        <v>45836</v>
      </c>
      <c r="C281" t="s">
        <v>32</v>
      </c>
      <c r="D281" t="s">
        <v>21</v>
      </c>
      <c r="E281" t="s">
        <v>18</v>
      </c>
      <c r="F281">
        <v>2038.37</v>
      </c>
      <c r="G281" s="2">
        <f t="shared" si="12"/>
        <v>2038.37</v>
      </c>
      <c r="H281">
        <v>3</v>
      </c>
      <c r="I281" s="3">
        <v>0.2</v>
      </c>
      <c r="J281">
        <v>3</v>
      </c>
      <c r="K281">
        <f t="shared" si="13"/>
        <v>6115.11</v>
      </c>
      <c r="L281">
        <f t="shared" si="14"/>
        <v>4892.0879999999997</v>
      </c>
    </row>
    <row r="282" spans="1:12" x14ac:dyDescent="0.2">
      <c r="A282" t="s">
        <v>738</v>
      </c>
      <c r="B282" s="1">
        <v>45732</v>
      </c>
      <c r="C282" t="s">
        <v>32</v>
      </c>
      <c r="D282" t="s">
        <v>21</v>
      </c>
      <c r="E282" t="s">
        <v>56</v>
      </c>
      <c r="F282">
        <v>2370.9699999999998</v>
      </c>
      <c r="G282" s="2">
        <f t="shared" si="12"/>
        <v>2370.9699999999998</v>
      </c>
      <c r="H282">
        <v>2</v>
      </c>
      <c r="I282" s="3">
        <v>0</v>
      </c>
      <c r="J282">
        <v>3</v>
      </c>
      <c r="K282">
        <f t="shared" si="13"/>
        <v>4741.9399999999996</v>
      </c>
      <c r="L282">
        <f t="shared" si="14"/>
        <v>4741.9399999999996</v>
      </c>
    </row>
    <row r="283" spans="1:12" x14ac:dyDescent="0.2">
      <c r="A283" t="s">
        <v>244</v>
      </c>
      <c r="B283" s="1">
        <v>45993</v>
      </c>
      <c r="C283" t="s">
        <v>856</v>
      </c>
      <c r="D283" t="s">
        <v>11</v>
      </c>
      <c r="E283" t="s">
        <v>30</v>
      </c>
      <c r="F283">
        <v>902.92</v>
      </c>
      <c r="G283" s="2">
        <f t="shared" si="12"/>
        <v>902.92</v>
      </c>
      <c r="H283">
        <v>1</v>
      </c>
      <c r="I283" s="3">
        <v>0</v>
      </c>
      <c r="J283">
        <v>5</v>
      </c>
      <c r="K283">
        <f t="shared" si="13"/>
        <v>902.92</v>
      </c>
      <c r="L283">
        <f t="shared" si="14"/>
        <v>902.92</v>
      </c>
    </row>
    <row r="284" spans="1:12" x14ac:dyDescent="0.2">
      <c r="A284" t="s">
        <v>406</v>
      </c>
      <c r="B284" s="1">
        <v>45946</v>
      </c>
      <c r="C284" t="s">
        <v>14</v>
      </c>
      <c r="D284" t="s">
        <v>15</v>
      </c>
      <c r="E284" t="s">
        <v>18</v>
      </c>
      <c r="F284">
        <v>499.31</v>
      </c>
      <c r="G284" s="2">
        <f t="shared" si="12"/>
        <v>499.31</v>
      </c>
      <c r="H284">
        <v>10</v>
      </c>
      <c r="I284" s="3">
        <v>0.2</v>
      </c>
      <c r="J284">
        <v>5</v>
      </c>
      <c r="K284">
        <f t="shared" si="13"/>
        <v>4993.1000000000004</v>
      </c>
      <c r="L284">
        <f t="shared" si="14"/>
        <v>3994.4800000000005</v>
      </c>
    </row>
    <row r="285" spans="1:12" x14ac:dyDescent="0.2">
      <c r="A285" t="s">
        <v>187</v>
      </c>
      <c r="B285" s="1">
        <v>45819</v>
      </c>
      <c r="C285" t="s">
        <v>10</v>
      </c>
      <c r="D285" t="s">
        <v>11</v>
      </c>
      <c r="E285" t="s">
        <v>30</v>
      </c>
      <c r="F285">
        <v>731.5</v>
      </c>
      <c r="G285" s="2">
        <f t="shared" si="12"/>
        <v>731.5</v>
      </c>
      <c r="H285">
        <v>1</v>
      </c>
      <c r="I285" s="3">
        <v>0.1</v>
      </c>
      <c r="J285">
        <v>2</v>
      </c>
      <c r="K285">
        <f t="shared" si="13"/>
        <v>731.5</v>
      </c>
      <c r="L285">
        <f t="shared" si="14"/>
        <v>658.35</v>
      </c>
    </row>
    <row r="286" spans="1:12" x14ac:dyDescent="0.2">
      <c r="A286" t="s">
        <v>785</v>
      </c>
      <c r="B286" s="1">
        <v>45981</v>
      </c>
      <c r="C286" t="s">
        <v>14</v>
      </c>
      <c r="D286" t="s">
        <v>15</v>
      </c>
      <c r="E286" t="s">
        <v>22</v>
      </c>
      <c r="F286">
        <v>339.38</v>
      </c>
      <c r="G286" s="2">
        <f t="shared" si="12"/>
        <v>339.38</v>
      </c>
      <c r="H286">
        <v>2</v>
      </c>
      <c r="I286" s="3">
        <v>0</v>
      </c>
      <c r="J286">
        <v>1</v>
      </c>
      <c r="K286">
        <f t="shared" si="13"/>
        <v>678.76</v>
      </c>
      <c r="L286">
        <f t="shared" si="14"/>
        <v>678.76</v>
      </c>
    </row>
    <row r="287" spans="1:12" x14ac:dyDescent="0.2">
      <c r="A287" t="s">
        <v>679</v>
      </c>
      <c r="B287" s="1">
        <v>45695</v>
      </c>
      <c r="C287" t="s">
        <v>43</v>
      </c>
      <c r="D287" t="s">
        <v>15</v>
      </c>
      <c r="E287" t="s">
        <v>56</v>
      </c>
      <c r="F287">
        <v>391.18</v>
      </c>
      <c r="G287" s="2">
        <f t="shared" si="12"/>
        <v>391.18</v>
      </c>
      <c r="H287">
        <v>2</v>
      </c>
      <c r="I287" s="3">
        <v>0.1</v>
      </c>
      <c r="J287">
        <v>5</v>
      </c>
      <c r="K287">
        <f t="shared" si="13"/>
        <v>782.36</v>
      </c>
      <c r="L287">
        <f t="shared" si="14"/>
        <v>704.12400000000002</v>
      </c>
    </row>
    <row r="288" spans="1:12" x14ac:dyDescent="0.2">
      <c r="A288" t="s">
        <v>695</v>
      </c>
      <c r="B288" s="1">
        <v>45846</v>
      </c>
      <c r="C288" t="s">
        <v>34</v>
      </c>
      <c r="D288" t="s">
        <v>11</v>
      </c>
      <c r="E288" t="s">
        <v>56</v>
      </c>
      <c r="F288">
        <v>1267.44</v>
      </c>
      <c r="G288" s="2">
        <f t="shared" si="12"/>
        <v>1267.44</v>
      </c>
      <c r="H288">
        <v>2</v>
      </c>
      <c r="I288" s="3">
        <v>0</v>
      </c>
      <c r="J288">
        <v>2</v>
      </c>
      <c r="K288">
        <f t="shared" si="13"/>
        <v>2534.88</v>
      </c>
      <c r="L288">
        <f t="shared" si="14"/>
        <v>2534.88</v>
      </c>
    </row>
    <row r="289" spans="1:12" x14ac:dyDescent="0.2">
      <c r="A289" t="s">
        <v>138</v>
      </c>
      <c r="B289" s="1">
        <v>45917</v>
      </c>
      <c r="C289" t="s">
        <v>856</v>
      </c>
      <c r="D289" t="s">
        <v>11</v>
      </c>
      <c r="E289" t="s">
        <v>860</v>
      </c>
      <c r="F289">
        <v>1050.55</v>
      </c>
      <c r="G289" s="2">
        <f t="shared" si="12"/>
        <v>1050.55</v>
      </c>
      <c r="H289">
        <v>5</v>
      </c>
      <c r="I289" s="3">
        <v>0.1</v>
      </c>
      <c r="J289" t="s">
        <v>857</v>
      </c>
      <c r="K289">
        <f t="shared" si="13"/>
        <v>5252.75</v>
      </c>
      <c r="L289">
        <f t="shared" si="14"/>
        <v>4727.4750000000004</v>
      </c>
    </row>
    <row r="290" spans="1:12" x14ac:dyDescent="0.2">
      <c r="A290" t="s">
        <v>820</v>
      </c>
      <c r="B290" s="1">
        <v>45679</v>
      </c>
      <c r="C290" t="s">
        <v>10</v>
      </c>
      <c r="D290" t="s">
        <v>11</v>
      </c>
      <c r="E290" t="s">
        <v>30</v>
      </c>
      <c r="F290">
        <v>1150.05</v>
      </c>
      <c r="G290" s="2">
        <f t="shared" si="12"/>
        <v>1150.05</v>
      </c>
      <c r="H290">
        <v>10</v>
      </c>
      <c r="I290" s="3">
        <v>0.15</v>
      </c>
      <c r="J290">
        <v>4</v>
      </c>
      <c r="K290">
        <f t="shared" si="13"/>
        <v>11500.5</v>
      </c>
      <c r="L290">
        <f t="shared" si="14"/>
        <v>9775.4249999999993</v>
      </c>
    </row>
    <row r="291" spans="1:12" x14ac:dyDescent="0.2">
      <c r="A291" t="s">
        <v>440</v>
      </c>
      <c r="B291" s="1">
        <v>45901</v>
      </c>
      <c r="C291" t="s">
        <v>43</v>
      </c>
      <c r="D291" t="s">
        <v>15</v>
      </c>
      <c r="E291" t="s">
        <v>56</v>
      </c>
      <c r="G291" s="2">
        <f t="shared" si="12"/>
        <v>362.89299999999997</v>
      </c>
      <c r="H291">
        <v>1</v>
      </c>
      <c r="I291" s="3">
        <v>0</v>
      </c>
      <c r="J291">
        <v>5</v>
      </c>
      <c r="K291">
        <f t="shared" si="13"/>
        <v>362.89299999999997</v>
      </c>
      <c r="L291">
        <f t="shared" si="14"/>
        <v>362.89299999999997</v>
      </c>
    </row>
    <row r="292" spans="1:12" x14ac:dyDescent="0.2">
      <c r="A292" t="s">
        <v>513</v>
      </c>
      <c r="B292" s="1">
        <v>45833</v>
      </c>
      <c r="C292" t="s">
        <v>34</v>
      </c>
      <c r="D292" t="s">
        <v>11</v>
      </c>
      <c r="E292" t="s">
        <v>18</v>
      </c>
      <c r="F292">
        <v>1058.55</v>
      </c>
      <c r="G292" s="2">
        <f t="shared" si="12"/>
        <v>1058.55</v>
      </c>
      <c r="H292">
        <v>1</v>
      </c>
      <c r="I292" s="3">
        <v>0.15</v>
      </c>
      <c r="J292">
        <v>3</v>
      </c>
      <c r="K292">
        <f t="shared" si="13"/>
        <v>1058.55</v>
      </c>
      <c r="L292">
        <f t="shared" si="14"/>
        <v>899.76749999999993</v>
      </c>
    </row>
    <row r="293" spans="1:12" x14ac:dyDescent="0.2">
      <c r="A293" t="s">
        <v>549</v>
      </c>
      <c r="B293" s="1">
        <v>46020</v>
      </c>
      <c r="C293" t="s">
        <v>34</v>
      </c>
      <c r="D293" t="s">
        <v>11</v>
      </c>
      <c r="E293" t="s">
        <v>30</v>
      </c>
      <c r="G293" s="2">
        <f t="shared" si="12"/>
        <v>1206.3558695652175</v>
      </c>
      <c r="H293">
        <v>10</v>
      </c>
      <c r="I293" s="3">
        <v>0.1</v>
      </c>
      <c r="J293" t="s">
        <v>857</v>
      </c>
      <c r="K293">
        <f t="shared" si="13"/>
        <v>12063.558695652175</v>
      </c>
      <c r="L293">
        <f t="shared" si="14"/>
        <v>10857.202826086957</v>
      </c>
    </row>
    <row r="294" spans="1:12" x14ac:dyDescent="0.2">
      <c r="A294" t="s">
        <v>583</v>
      </c>
      <c r="B294" s="1">
        <v>45831</v>
      </c>
      <c r="C294" t="s">
        <v>54</v>
      </c>
      <c r="D294" t="s">
        <v>15</v>
      </c>
      <c r="E294" t="s">
        <v>22</v>
      </c>
      <c r="F294">
        <v>301.5</v>
      </c>
      <c r="G294" s="2">
        <f t="shared" si="12"/>
        <v>301.5</v>
      </c>
      <c r="H294">
        <v>1</v>
      </c>
      <c r="I294" s="3">
        <v>0.2</v>
      </c>
      <c r="J294">
        <v>5</v>
      </c>
      <c r="K294">
        <f t="shared" si="13"/>
        <v>301.5</v>
      </c>
      <c r="L294">
        <f t="shared" si="14"/>
        <v>241.20000000000002</v>
      </c>
    </row>
    <row r="295" spans="1:12" x14ac:dyDescent="0.2">
      <c r="A295" t="s">
        <v>85</v>
      </c>
      <c r="B295" s="1">
        <v>45706</v>
      </c>
      <c r="C295" t="s">
        <v>34</v>
      </c>
      <c r="D295" t="s">
        <v>11</v>
      </c>
      <c r="E295" t="s">
        <v>18</v>
      </c>
      <c r="F295">
        <v>1415.9</v>
      </c>
      <c r="G295" s="2">
        <f t="shared" si="12"/>
        <v>1415.9</v>
      </c>
      <c r="H295">
        <v>5</v>
      </c>
      <c r="I295" s="3">
        <v>0</v>
      </c>
      <c r="J295">
        <v>4</v>
      </c>
      <c r="K295">
        <f t="shared" si="13"/>
        <v>7079.5</v>
      </c>
      <c r="L295">
        <f t="shared" si="14"/>
        <v>7079.5</v>
      </c>
    </row>
    <row r="296" spans="1:12" x14ac:dyDescent="0.2">
      <c r="A296" t="s">
        <v>486</v>
      </c>
      <c r="B296" s="1">
        <v>45994</v>
      </c>
      <c r="C296" t="s">
        <v>29</v>
      </c>
      <c r="D296" t="s">
        <v>15</v>
      </c>
      <c r="E296" t="s">
        <v>18</v>
      </c>
      <c r="F296">
        <v>371.51</v>
      </c>
      <c r="G296" s="2">
        <f t="shared" si="12"/>
        <v>371.51</v>
      </c>
      <c r="H296">
        <v>1</v>
      </c>
      <c r="I296" s="3">
        <v>0</v>
      </c>
      <c r="J296">
        <v>2</v>
      </c>
      <c r="K296">
        <f t="shared" si="13"/>
        <v>371.51</v>
      </c>
      <c r="L296">
        <f t="shared" si="14"/>
        <v>371.51</v>
      </c>
    </row>
    <row r="297" spans="1:12" x14ac:dyDescent="0.2">
      <c r="A297" t="s">
        <v>662</v>
      </c>
      <c r="B297" s="1">
        <v>45730</v>
      </c>
      <c r="C297" t="s">
        <v>856</v>
      </c>
      <c r="D297" t="s">
        <v>11</v>
      </c>
      <c r="E297" t="s">
        <v>30</v>
      </c>
      <c r="F297">
        <v>1395.09</v>
      </c>
      <c r="G297" s="2">
        <f t="shared" si="12"/>
        <v>1395.09</v>
      </c>
      <c r="H297">
        <v>3</v>
      </c>
      <c r="I297" s="3">
        <v>0</v>
      </c>
      <c r="J297">
        <v>5</v>
      </c>
      <c r="K297">
        <f t="shared" si="13"/>
        <v>4185.2699999999995</v>
      </c>
      <c r="L297">
        <f t="shared" si="14"/>
        <v>4185.2699999999995</v>
      </c>
    </row>
    <row r="298" spans="1:12" x14ac:dyDescent="0.2">
      <c r="A298" t="s">
        <v>305</v>
      </c>
      <c r="B298" s="1">
        <v>46020</v>
      </c>
      <c r="C298" t="s">
        <v>32</v>
      </c>
      <c r="D298" t="s">
        <v>21</v>
      </c>
      <c r="E298" t="s">
        <v>56</v>
      </c>
      <c r="F298">
        <v>2026.67</v>
      </c>
      <c r="G298" s="2">
        <f t="shared" si="12"/>
        <v>2026.67</v>
      </c>
      <c r="H298">
        <v>1</v>
      </c>
      <c r="I298" s="3">
        <v>0</v>
      </c>
      <c r="J298" t="s">
        <v>857</v>
      </c>
      <c r="K298">
        <f t="shared" si="13"/>
        <v>2026.67</v>
      </c>
      <c r="L298">
        <f t="shared" si="14"/>
        <v>2026.67</v>
      </c>
    </row>
    <row r="299" spans="1:12" x14ac:dyDescent="0.2">
      <c r="A299" t="s">
        <v>267</v>
      </c>
      <c r="B299" s="1">
        <v>45826</v>
      </c>
      <c r="C299" t="s">
        <v>54</v>
      </c>
      <c r="D299" t="s">
        <v>15</v>
      </c>
      <c r="E299" t="s">
        <v>30</v>
      </c>
      <c r="F299">
        <v>291.97000000000003</v>
      </c>
      <c r="G299" s="2">
        <f t="shared" si="12"/>
        <v>291.97000000000003</v>
      </c>
      <c r="H299">
        <v>1</v>
      </c>
      <c r="I299" s="3">
        <v>0.2</v>
      </c>
      <c r="J299" t="s">
        <v>857</v>
      </c>
      <c r="K299">
        <f t="shared" si="13"/>
        <v>291.97000000000003</v>
      </c>
      <c r="L299">
        <f t="shared" si="14"/>
        <v>233.57600000000002</v>
      </c>
    </row>
    <row r="300" spans="1:12" x14ac:dyDescent="0.2">
      <c r="A300" t="s">
        <v>564</v>
      </c>
      <c r="B300" s="1">
        <v>46001</v>
      </c>
      <c r="C300" t="s">
        <v>34</v>
      </c>
      <c r="D300" t="s">
        <v>11</v>
      </c>
      <c r="E300" t="s">
        <v>30</v>
      </c>
      <c r="F300">
        <v>1065.56</v>
      </c>
      <c r="G300" s="2">
        <f t="shared" si="12"/>
        <v>1065.56</v>
      </c>
      <c r="H300">
        <v>5</v>
      </c>
      <c r="I300" s="3">
        <v>0.15</v>
      </c>
      <c r="J300">
        <v>5</v>
      </c>
      <c r="K300">
        <f t="shared" si="13"/>
        <v>5327.7999999999993</v>
      </c>
      <c r="L300">
        <f t="shared" si="14"/>
        <v>4528.6299999999992</v>
      </c>
    </row>
    <row r="301" spans="1:12" x14ac:dyDescent="0.2">
      <c r="A301" t="s">
        <v>33</v>
      </c>
      <c r="B301" s="1">
        <v>45816</v>
      </c>
      <c r="C301" t="s">
        <v>34</v>
      </c>
      <c r="D301" t="s">
        <v>11</v>
      </c>
      <c r="E301" t="s">
        <v>18</v>
      </c>
      <c r="F301">
        <v>1379.35</v>
      </c>
      <c r="G301" s="2">
        <f t="shared" si="12"/>
        <v>1379.35</v>
      </c>
      <c r="H301">
        <v>1</v>
      </c>
      <c r="I301" s="3">
        <v>0</v>
      </c>
      <c r="J301">
        <v>5</v>
      </c>
      <c r="K301">
        <f t="shared" si="13"/>
        <v>1379.35</v>
      </c>
      <c r="L301">
        <f t="shared" si="14"/>
        <v>1379.35</v>
      </c>
    </row>
    <row r="302" spans="1:12" x14ac:dyDescent="0.2">
      <c r="A302" t="s">
        <v>571</v>
      </c>
      <c r="B302" s="1">
        <v>45756</v>
      </c>
      <c r="C302" t="s">
        <v>10</v>
      </c>
      <c r="D302" t="s">
        <v>11</v>
      </c>
      <c r="E302" t="s">
        <v>22</v>
      </c>
      <c r="F302">
        <v>1346.49</v>
      </c>
      <c r="G302" s="2">
        <f t="shared" si="12"/>
        <v>1346.49</v>
      </c>
      <c r="H302">
        <v>2</v>
      </c>
      <c r="I302" s="3">
        <v>0</v>
      </c>
      <c r="J302">
        <v>3</v>
      </c>
      <c r="K302">
        <f t="shared" si="13"/>
        <v>2692.98</v>
      </c>
      <c r="L302">
        <f t="shared" si="14"/>
        <v>2692.98</v>
      </c>
    </row>
    <row r="303" spans="1:12" x14ac:dyDescent="0.2">
      <c r="A303" t="s">
        <v>402</v>
      </c>
      <c r="B303" s="1">
        <v>45709</v>
      </c>
      <c r="C303" t="s">
        <v>34</v>
      </c>
      <c r="D303" t="s">
        <v>11</v>
      </c>
      <c r="E303" t="s">
        <v>18</v>
      </c>
      <c r="F303">
        <v>1194.98</v>
      </c>
      <c r="G303" s="2">
        <f t="shared" si="12"/>
        <v>1194.98</v>
      </c>
      <c r="H303">
        <v>1</v>
      </c>
      <c r="I303" s="3">
        <v>0.2</v>
      </c>
      <c r="J303">
        <v>5</v>
      </c>
      <c r="K303">
        <f t="shared" si="13"/>
        <v>1194.98</v>
      </c>
      <c r="L303">
        <f t="shared" si="14"/>
        <v>955.98400000000004</v>
      </c>
    </row>
    <row r="304" spans="1:12" x14ac:dyDescent="0.2">
      <c r="A304" t="s">
        <v>273</v>
      </c>
      <c r="B304" s="1">
        <v>45974</v>
      </c>
      <c r="C304" t="s">
        <v>26</v>
      </c>
      <c r="D304" t="s">
        <v>27</v>
      </c>
      <c r="E304" t="s">
        <v>18</v>
      </c>
      <c r="F304">
        <v>614.08000000000004</v>
      </c>
      <c r="G304" s="2">
        <f t="shared" si="12"/>
        <v>614.08000000000004</v>
      </c>
      <c r="H304">
        <v>1</v>
      </c>
      <c r="I304" s="3">
        <v>0.15</v>
      </c>
      <c r="J304">
        <v>5</v>
      </c>
      <c r="K304">
        <f t="shared" si="13"/>
        <v>614.08000000000004</v>
      </c>
      <c r="L304">
        <f t="shared" si="14"/>
        <v>521.96800000000007</v>
      </c>
    </row>
    <row r="305" spans="1:12" x14ac:dyDescent="0.2">
      <c r="A305" t="s">
        <v>145</v>
      </c>
      <c r="B305" s="1">
        <v>45750</v>
      </c>
      <c r="C305" t="s">
        <v>32</v>
      </c>
      <c r="D305" t="s">
        <v>21</v>
      </c>
      <c r="E305" t="s">
        <v>30</v>
      </c>
      <c r="F305">
        <v>2259.96</v>
      </c>
      <c r="G305" s="2">
        <f t="shared" si="12"/>
        <v>2259.96</v>
      </c>
      <c r="H305">
        <v>1</v>
      </c>
      <c r="I305" s="3">
        <v>0.2</v>
      </c>
      <c r="J305">
        <v>5</v>
      </c>
      <c r="K305">
        <f t="shared" si="13"/>
        <v>2259.96</v>
      </c>
      <c r="L305">
        <f t="shared" si="14"/>
        <v>1807.9680000000001</v>
      </c>
    </row>
    <row r="306" spans="1:12" x14ac:dyDescent="0.2">
      <c r="A306" t="s">
        <v>269</v>
      </c>
      <c r="B306" s="1">
        <v>45844</v>
      </c>
      <c r="C306" t="s">
        <v>34</v>
      </c>
      <c r="D306" t="s">
        <v>11</v>
      </c>
      <c r="E306" t="s">
        <v>22</v>
      </c>
      <c r="F306">
        <v>1058.02</v>
      </c>
      <c r="G306" s="2">
        <f t="shared" si="12"/>
        <v>1058.02</v>
      </c>
      <c r="H306">
        <v>2</v>
      </c>
      <c r="I306" s="3">
        <v>0.1</v>
      </c>
      <c r="J306">
        <v>4</v>
      </c>
      <c r="K306">
        <f t="shared" si="13"/>
        <v>2116.04</v>
      </c>
      <c r="L306">
        <f t="shared" si="14"/>
        <v>1904.4359999999999</v>
      </c>
    </row>
    <row r="307" spans="1:12" x14ac:dyDescent="0.2">
      <c r="A307" t="s">
        <v>76</v>
      </c>
      <c r="B307" s="1">
        <v>45887</v>
      </c>
      <c r="C307" t="s">
        <v>10</v>
      </c>
      <c r="D307" t="s">
        <v>11</v>
      </c>
      <c r="E307" t="s">
        <v>30</v>
      </c>
      <c r="F307">
        <v>1331.3</v>
      </c>
      <c r="G307" s="2">
        <f t="shared" si="12"/>
        <v>1331.3</v>
      </c>
      <c r="H307">
        <v>2</v>
      </c>
      <c r="I307" s="3">
        <v>0.15</v>
      </c>
      <c r="J307">
        <v>4</v>
      </c>
      <c r="K307">
        <f t="shared" si="13"/>
        <v>2662.6</v>
      </c>
      <c r="L307">
        <f t="shared" si="14"/>
        <v>2263.21</v>
      </c>
    </row>
    <row r="308" spans="1:12" x14ac:dyDescent="0.2">
      <c r="A308" t="s">
        <v>765</v>
      </c>
      <c r="B308" s="1">
        <v>45898</v>
      </c>
      <c r="C308" t="s">
        <v>43</v>
      </c>
      <c r="D308" t="s">
        <v>15</v>
      </c>
      <c r="E308" t="s">
        <v>18</v>
      </c>
      <c r="F308">
        <v>335.85</v>
      </c>
      <c r="G308" s="2">
        <f t="shared" si="12"/>
        <v>335.85</v>
      </c>
      <c r="H308">
        <v>2</v>
      </c>
      <c r="I308" s="3">
        <v>0</v>
      </c>
      <c r="J308">
        <v>5</v>
      </c>
      <c r="K308">
        <f t="shared" si="13"/>
        <v>671.7</v>
      </c>
      <c r="L308">
        <f t="shared" si="14"/>
        <v>671.7</v>
      </c>
    </row>
    <row r="309" spans="1:12" x14ac:dyDescent="0.2">
      <c r="A309" t="s">
        <v>425</v>
      </c>
      <c r="B309" s="1">
        <v>45802</v>
      </c>
      <c r="C309" t="s">
        <v>14</v>
      </c>
      <c r="D309" t="s">
        <v>15</v>
      </c>
      <c r="E309" t="s">
        <v>18</v>
      </c>
      <c r="F309">
        <v>334.76</v>
      </c>
      <c r="G309" s="2">
        <f t="shared" si="12"/>
        <v>334.76</v>
      </c>
      <c r="H309">
        <v>5</v>
      </c>
      <c r="I309" s="3">
        <v>0.15</v>
      </c>
      <c r="J309" t="s">
        <v>857</v>
      </c>
      <c r="K309">
        <f t="shared" si="13"/>
        <v>1673.8</v>
      </c>
      <c r="L309">
        <f t="shared" si="14"/>
        <v>1422.73</v>
      </c>
    </row>
    <row r="310" spans="1:12" x14ac:dyDescent="0.2">
      <c r="A310" t="s">
        <v>610</v>
      </c>
      <c r="B310" s="1">
        <v>45760</v>
      </c>
      <c r="C310" t="s">
        <v>54</v>
      </c>
      <c r="D310" t="s">
        <v>15</v>
      </c>
      <c r="E310" t="s">
        <v>30</v>
      </c>
      <c r="F310">
        <v>426.91</v>
      </c>
      <c r="G310" s="2">
        <f t="shared" si="12"/>
        <v>426.91</v>
      </c>
      <c r="H310">
        <v>1</v>
      </c>
      <c r="I310" s="3">
        <v>0</v>
      </c>
      <c r="J310">
        <v>1</v>
      </c>
      <c r="K310">
        <f t="shared" si="13"/>
        <v>426.91</v>
      </c>
      <c r="L310">
        <f t="shared" si="14"/>
        <v>426.91</v>
      </c>
    </row>
    <row r="311" spans="1:12" x14ac:dyDescent="0.2">
      <c r="A311" t="s">
        <v>819</v>
      </c>
      <c r="B311" s="1">
        <v>45848</v>
      </c>
      <c r="C311" t="s">
        <v>856</v>
      </c>
      <c r="D311" t="s">
        <v>11</v>
      </c>
      <c r="E311" t="s">
        <v>22</v>
      </c>
      <c r="G311" s="2">
        <f t="shared" si="12"/>
        <v>1225.2512631578948</v>
      </c>
      <c r="H311">
        <v>1</v>
      </c>
      <c r="I311" s="3">
        <v>0.2</v>
      </c>
      <c r="J311" t="s">
        <v>857</v>
      </c>
      <c r="K311">
        <f t="shared" si="13"/>
        <v>1225.2512631578948</v>
      </c>
      <c r="L311">
        <f t="shared" si="14"/>
        <v>980.20101052631583</v>
      </c>
    </row>
    <row r="312" spans="1:12" x14ac:dyDescent="0.2">
      <c r="A312" t="s">
        <v>535</v>
      </c>
      <c r="B312" s="1">
        <v>45803</v>
      </c>
      <c r="C312" t="s">
        <v>10</v>
      </c>
      <c r="D312" t="s">
        <v>11</v>
      </c>
      <c r="E312" t="s">
        <v>56</v>
      </c>
      <c r="F312">
        <v>1395.24</v>
      </c>
      <c r="G312" s="2">
        <f t="shared" si="12"/>
        <v>1395.24</v>
      </c>
      <c r="H312">
        <v>1</v>
      </c>
      <c r="I312" s="3">
        <v>0</v>
      </c>
      <c r="J312">
        <v>4</v>
      </c>
      <c r="K312">
        <f t="shared" si="13"/>
        <v>1395.24</v>
      </c>
      <c r="L312">
        <f t="shared" si="14"/>
        <v>1395.24</v>
      </c>
    </row>
    <row r="313" spans="1:12" x14ac:dyDescent="0.2">
      <c r="A313" t="s">
        <v>475</v>
      </c>
      <c r="B313" s="1">
        <v>45733</v>
      </c>
      <c r="C313" t="s">
        <v>14</v>
      </c>
      <c r="D313" t="s">
        <v>15</v>
      </c>
      <c r="E313" t="s">
        <v>56</v>
      </c>
      <c r="G313" s="2">
        <f t="shared" si="12"/>
        <v>351.86434782608688</v>
      </c>
      <c r="H313">
        <v>5</v>
      </c>
      <c r="I313" s="3">
        <v>0</v>
      </c>
      <c r="J313">
        <v>4</v>
      </c>
      <c r="K313">
        <f t="shared" si="13"/>
        <v>1759.3217391304345</v>
      </c>
      <c r="L313">
        <f t="shared" si="14"/>
        <v>1759.3217391304345</v>
      </c>
    </row>
    <row r="314" spans="1:12" x14ac:dyDescent="0.2">
      <c r="A314" t="s">
        <v>700</v>
      </c>
      <c r="B314" s="1">
        <v>45836</v>
      </c>
      <c r="C314" t="s">
        <v>10</v>
      </c>
      <c r="D314" t="s">
        <v>11</v>
      </c>
      <c r="E314" t="s">
        <v>22</v>
      </c>
      <c r="F314">
        <v>1205.04</v>
      </c>
      <c r="G314" s="2">
        <f t="shared" si="12"/>
        <v>1205.04</v>
      </c>
      <c r="H314">
        <v>1</v>
      </c>
      <c r="I314" s="3">
        <v>0.1</v>
      </c>
      <c r="J314">
        <v>1</v>
      </c>
      <c r="K314">
        <f t="shared" si="13"/>
        <v>1205.04</v>
      </c>
      <c r="L314">
        <f t="shared" si="14"/>
        <v>1084.5360000000001</v>
      </c>
    </row>
    <row r="315" spans="1:12" x14ac:dyDescent="0.2">
      <c r="A315" t="s">
        <v>94</v>
      </c>
      <c r="B315" s="1">
        <v>45849</v>
      </c>
      <c r="C315" t="s">
        <v>54</v>
      </c>
      <c r="D315" t="s">
        <v>15</v>
      </c>
      <c r="E315" t="s">
        <v>56</v>
      </c>
      <c r="F315">
        <v>397.74</v>
      </c>
      <c r="G315" s="2">
        <f t="shared" si="12"/>
        <v>397.74</v>
      </c>
      <c r="H315">
        <v>2</v>
      </c>
      <c r="I315" s="3">
        <v>0.1</v>
      </c>
      <c r="J315">
        <v>2</v>
      </c>
      <c r="K315">
        <f t="shared" si="13"/>
        <v>795.48</v>
      </c>
      <c r="L315">
        <f t="shared" si="14"/>
        <v>715.93200000000002</v>
      </c>
    </row>
    <row r="316" spans="1:12" x14ac:dyDescent="0.2">
      <c r="A316" t="s">
        <v>799</v>
      </c>
      <c r="B316" s="1">
        <v>45672</v>
      </c>
      <c r="C316" t="s">
        <v>43</v>
      </c>
      <c r="D316" t="s">
        <v>15</v>
      </c>
      <c r="E316" t="s">
        <v>860</v>
      </c>
      <c r="F316">
        <v>328.28</v>
      </c>
      <c r="G316" s="2">
        <f t="shared" si="12"/>
        <v>328.28</v>
      </c>
      <c r="H316">
        <v>3</v>
      </c>
      <c r="I316" s="3">
        <v>0</v>
      </c>
      <c r="J316">
        <v>5</v>
      </c>
      <c r="K316">
        <f t="shared" si="13"/>
        <v>984.83999999999992</v>
      </c>
      <c r="L316">
        <f t="shared" si="14"/>
        <v>984.83999999999992</v>
      </c>
    </row>
    <row r="317" spans="1:12" x14ac:dyDescent="0.2">
      <c r="A317" t="s">
        <v>351</v>
      </c>
      <c r="B317" s="1">
        <v>45728</v>
      </c>
      <c r="C317" t="s">
        <v>10</v>
      </c>
      <c r="D317" t="s">
        <v>11</v>
      </c>
      <c r="E317" t="s">
        <v>30</v>
      </c>
      <c r="F317">
        <v>1277.8</v>
      </c>
      <c r="G317" s="2">
        <f t="shared" si="12"/>
        <v>1277.8</v>
      </c>
      <c r="H317">
        <v>1</v>
      </c>
      <c r="I317" s="3">
        <v>0</v>
      </c>
      <c r="J317">
        <v>5</v>
      </c>
      <c r="K317">
        <f t="shared" si="13"/>
        <v>1277.8</v>
      </c>
      <c r="L317">
        <f t="shared" si="14"/>
        <v>1277.8</v>
      </c>
    </row>
    <row r="318" spans="1:12" x14ac:dyDescent="0.2">
      <c r="A318" t="s">
        <v>378</v>
      </c>
      <c r="B318" s="1">
        <v>45729</v>
      </c>
      <c r="C318" t="s">
        <v>29</v>
      </c>
      <c r="D318" t="s">
        <v>15</v>
      </c>
      <c r="E318" t="s">
        <v>18</v>
      </c>
      <c r="F318">
        <v>340.89</v>
      </c>
      <c r="G318" s="2">
        <f t="shared" si="12"/>
        <v>340.89</v>
      </c>
      <c r="H318">
        <v>10</v>
      </c>
      <c r="I318" s="3">
        <v>0.1</v>
      </c>
      <c r="J318">
        <v>1</v>
      </c>
      <c r="K318">
        <f t="shared" si="13"/>
        <v>3408.8999999999996</v>
      </c>
      <c r="L318">
        <f t="shared" si="14"/>
        <v>3068.0099999999998</v>
      </c>
    </row>
    <row r="319" spans="1:12" x14ac:dyDescent="0.2">
      <c r="A319" t="s">
        <v>454</v>
      </c>
      <c r="B319" s="1">
        <v>45667</v>
      </c>
      <c r="C319" t="s">
        <v>26</v>
      </c>
      <c r="D319" t="s">
        <v>27</v>
      </c>
      <c r="E319" t="s">
        <v>56</v>
      </c>
      <c r="F319">
        <v>611.64</v>
      </c>
      <c r="G319" s="2">
        <f t="shared" si="12"/>
        <v>611.64</v>
      </c>
      <c r="H319">
        <v>2</v>
      </c>
      <c r="I319" s="3">
        <v>0</v>
      </c>
      <c r="J319">
        <v>3</v>
      </c>
      <c r="K319">
        <f t="shared" si="13"/>
        <v>1223.28</v>
      </c>
      <c r="L319">
        <f t="shared" si="14"/>
        <v>1223.28</v>
      </c>
    </row>
    <row r="320" spans="1:12" x14ac:dyDescent="0.2">
      <c r="A320" t="s">
        <v>391</v>
      </c>
      <c r="B320" s="1">
        <v>45969</v>
      </c>
      <c r="C320" t="s">
        <v>17</v>
      </c>
      <c r="D320" t="s">
        <v>11</v>
      </c>
      <c r="E320" t="s">
        <v>30</v>
      </c>
      <c r="G320" s="2">
        <f t="shared" si="12"/>
        <v>1177.5582978723407</v>
      </c>
      <c r="H320">
        <v>5</v>
      </c>
      <c r="I320" s="3">
        <v>0</v>
      </c>
      <c r="J320">
        <v>4</v>
      </c>
      <c r="K320">
        <f t="shared" si="13"/>
        <v>5887.7914893617035</v>
      </c>
      <c r="L320">
        <f t="shared" si="14"/>
        <v>5887.7914893617035</v>
      </c>
    </row>
    <row r="321" spans="1:12" x14ac:dyDescent="0.2">
      <c r="A321" t="s">
        <v>526</v>
      </c>
      <c r="B321" s="1">
        <v>45720</v>
      </c>
      <c r="C321" t="s">
        <v>32</v>
      </c>
      <c r="D321" t="s">
        <v>21</v>
      </c>
      <c r="E321" t="s">
        <v>18</v>
      </c>
      <c r="F321">
        <v>1505.44</v>
      </c>
      <c r="G321" s="2">
        <f t="shared" si="12"/>
        <v>1505.44</v>
      </c>
      <c r="H321">
        <v>1</v>
      </c>
      <c r="I321" s="3">
        <v>0</v>
      </c>
      <c r="J321">
        <v>5</v>
      </c>
      <c r="K321">
        <f t="shared" si="13"/>
        <v>1505.44</v>
      </c>
      <c r="L321">
        <f t="shared" si="14"/>
        <v>1505.44</v>
      </c>
    </row>
    <row r="322" spans="1:12" x14ac:dyDescent="0.2">
      <c r="A322" t="s">
        <v>275</v>
      </c>
      <c r="B322" s="1">
        <v>45976</v>
      </c>
      <c r="C322" t="s">
        <v>856</v>
      </c>
      <c r="D322" t="s">
        <v>11</v>
      </c>
      <c r="E322" t="s">
        <v>18</v>
      </c>
      <c r="F322">
        <v>1702.17</v>
      </c>
      <c r="G322" s="2">
        <f t="shared" ref="G322:G385" si="15">IF(F322="", AVERAGEIF(C:C, C322, F:F), F322)</f>
        <v>1702.17</v>
      </c>
      <c r="H322">
        <v>10</v>
      </c>
      <c r="I322" s="3">
        <v>0</v>
      </c>
      <c r="J322">
        <v>2</v>
      </c>
      <c r="K322">
        <f t="shared" si="13"/>
        <v>17021.7</v>
      </c>
      <c r="L322">
        <f t="shared" si="14"/>
        <v>17021.7</v>
      </c>
    </row>
    <row r="323" spans="1:12" x14ac:dyDescent="0.2">
      <c r="A323" t="s">
        <v>482</v>
      </c>
      <c r="B323" s="1">
        <v>45963</v>
      </c>
      <c r="C323" t="s">
        <v>10</v>
      </c>
      <c r="D323" t="s">
        <v>11</v>
      </c>
      <c r="E323" t="s">
        <v>22</v>
      </c>
      <c r="F323">
        <v>958.56</v>
      </c>
      <c r="G323" s="2">
        <f t="shared" si="15"/>
        <v>958.56</v>
      </c>
      <c r="H323">
        <v>1</v>
      </c>
      <c r="I323" s="3">
        <v>0.2</v>
      </c>
      <c r="J323" t="s">
        <v>857</v>
      </c>
      <c r="K323">
        <f t="shared" ref="K323:K386" si="16">G323*H323</f>
        <v>958.56</v>
      </c>
      <c r="L323">
        <f t="shared" ref="L323:L386" si="17">G323*H323*(1-I323)</f>
        <v>766.84799999999996</v>
      </c>
    </row>
    <row r="324" spans="1:12" x14ac:dyDescent="0.2">
      <c r="A324" t="s">
        <v>826</v>
      </c>
      <c r="B324" s="1">
        <v>45731</v>
      </c>
      <c r="C324" t="s">
        <v>856</v>
      </c>
      <c r="D324" t="s">
        <v>11</v>
      </c>
      <c r="E324" t="s">
        <v>30</v>
      </c>
      <c r="F324">
        <v>908.59</v>
      </c>
      <c r="G324" s="2">
        <f t="shared" si="15"/>
        <v>908.59</v>
      </c>
      <c r="H324">
        <v>2</v>
      </c>
      <c r="I324" s="3">
        <v>0.1</v>
      </c>
      <c r="J324">
        <v>1</v>
      </c>
      <c r="K324">
        <f t="shared" si="16"/>
        <v>1817.18</v>
      </c>
      <c r="L324">
        <f t="shared" si="17"/>
        <v>1635.462</v>
      </c>
    </row>
    <row r="325" spans="1:12" x14ac:dyDescent="0.2">
      <c r="A325" t="s">
        <v>49</v>
      </c>
      <c r="B325" s="1">
        <v>45781</v>
      </c>
      <c r="C325" t="s">
        <v>856</v>
      </c>
      <c r="D325" t="s">
        <v>11</v>
      </c>
      <c r="E325" t="s">
        <v>18</v>
      </c>
      <c r="F325">
        <v>1477.95</v>
      </c>
      <c r="G325" s="2">
        <f t="shared" si="15"/>
        <v>1477.95</v>
      </c>
      <c r="H325">
        <v>5</v>
      </c>
      <c r="I325" s="3">
        <v>0</v>
      </c>
      <c r="J325">
        <v>2</v>
      </c>
      <c r="K325">
        <f t="shared" si="16"/>
        <v>7389.75</v>
      </c>
      <c r="L325">
        <f t="shared" si="17"/>
        <v>7389.75</v>
      </c>
    </row>
    <row r="326" spans="1:12" x14ac:dyDescent="0.2">
      <c r="A326" t="s">
        <v>16</v>
      </c>
      <c r="B326" s="1">
        <v>45692</v>
      </c>
      <c r="C326" t="s">
        <v>17</v>
      </c>
      <c r="D326" t="s">
        <v>11</v>
      </c>
      <c r="E326" t="s">
        <v>18</v>
      </c>
      <c r="F326">
        <v>1390</v>
      </c>
      <c r="G326" s="2">
        <f t="shared" si="15"/>
        <v>1390</v>
      </c>
      <c r="H326">
        <v>1</v>
      </c>
      <c r="I326" s="3">
        <v>0.1</v>
      </c>
      <c r="J326">
        <v>5</v>
      </c>
      <c r="K326">
        <f t="shared" si="16"/>
        <v>1390</v>
      </c>
      <c r="L326">
        <f t="shared" si="17"/>
        <v>1251</v>
      </c>
    </row>
    <row r="327" spans="1:12" x14ac:dyDescent="0.2">
      <c r="A327" t="s">
        <v>127</v>
      </c>
      <c r="B327" s="1">
        <v>45856</v>
      </c>
      <c r="C327" t="s">
        <v>34</v>
      </c>
      <c r="D327" t="s">
        <v>11</v>
      </c>
      <c r="E327" t="s">
        <v>30</v>
      </c>
      <c r="F327">
        <v>1349.79</v>
      </c>
      <c r="G327" s="2">
        <f t="shared" si="15"/>
        <v>1349.79</v>
      </c>
      <c r="H327">
        <v>3</v>
      </c>
      <c r="I327" s="3">
        <v>0</v>
      </c>
      <c r="J327">
        <v>1</v>
      </c>
      <c r="K327">
        <f t="shared" si="16"/>
        <v>4049.37</v>
      </c>
      <c r="L327">
        <f t="shared" si="17"/>
        <v>4049.37</v>
      </c>
    </row>
    <row r="328" spans="1:12" x14ac:dyDescent="0.2">
      <c r="A328" t="s">
        <v>516</v>
      </c>
      <c r="B328" s="1">
        <v>45692</v>
      </c>
      <c r="C328" t="s">
        <v>43</v>
      </c>
      <c r="D328" t="s">
        <v>15</v>
      </c>
      <c r="E328" t="s">
        <v>18</v>
      </c>
      <c r="F328">
        <v>393.98</v>
      </c>
      <c r="G328" s="2">
        <f t="shared" si="15"/>
        <v>393.98</v>
      </c>
      <c r="H328">
        <v>3</v>
      </c>
      <c r="I328" s="3">
        <v>0</v>
      </c>
      <c r="J328">
        <v>2</v>
      </c>
      <c r="K328">
        <f t="shared" si="16"/>
        <v>1181.94</v>
      </c>
      <c r="L328">
        <f t="shared" si="17"/>
        <v>1181.94</v>
      </c>
    </row>
    <row r="329" spans="1:12" x14ac:dyDescent="0.2">
      <c r="A329" t="s">
        <v>483</v>
      </c>
      <c r="B329" s="1">
        <v>45828</v>
      </c>
      <c r="C329" t="s">
        <v>10</v>
      </c>
      <c r="D329" t="s">
        <v>11</v>
      </c>
      <c r="E329" t="s">
        <v>56</v>
      </c>
      <c r="F329">
        <v>1197.06</v>
      </c>
      <c r="G329" s="2">
        <f t="shared" si="15"/>
        <v>1197.06</v>
      </c>
      <c r="H329">
        <v>1</v>
      </c>
      <c r="I329" s="3">
        <v>0</v>
      </c>
      <c r="J329">
        <v>5</v>
      </c>
      <c r="K329">
        <f t="shared" si="16"/>
        <v>1197.06</v>
      </c>
      <c r="L329">
        <f t="shared" si="17"/>
        <v>1197.06</v>
      </c>
    </row>
    <row r="330" spans="1:12" x14ac:dyDescent="0.2">
      <c r="A330" t="s">
        <v>711</v>
      </c>
      <c r="B330" s="1">
        <v>45987</v>
      </c>
      <c r="C330" t="s">
        <v>17</v>
      </c>
      <c r="D330" t="s">
        <v>11</v>
      </c>
      <c r="E330" t="s">
        <v>860</v>
      </c>
      <c r="F330">
        <v>984.66</v>
      </c>
      <c r="G330" s="2">
        <f t="shared" si="15"/>
        <v>984.66</v>
      </c>
      <c r="H330">
        <v>1</v>
      </c>
      <c r="I330" s="3">
        <v>0.2</v>
      </c>
      <c r="J330">
        <v>5</v>
      </c>
      <c r="K330">
        <f t="shared" si="16"/>
        <v>984.66</v>
      </c>
      <c r="L330">
        <f t="shared" si="17"/>
        <v>787.72800000000007</v>
      </c>
    </row>
    <row r="331" spans="1:12" x14ac:dyDescent="0.2">
      <c r="A331" t="s">
        <v>722</v>
      </c>
      <c r="B331" s="1">
        <v>45981</v>
      </c>
      <c r="C331" t="s">
        <v>29</v>
      </c>
      <c r="D331" t="s">
        <v>15</v>
      </c>
      <c r="E331" t="s">
        <v>22</v>
      </c>
      <c r="F331">
        <v>355.31</v>
      </c>
      <c r="G331" s="2">
        <f t="shared" si="15"/>
        <v>355.31</v>
      </c>
      <c r="H331">
        <v>1</v>
      </c>
      <c r="I331" s="3">
        <v>0</v>
      </c>
      <c r="J331">
        <v>2</v>
      </c>
      <c r="K331">
        <f t="shared" si="16"/>
        <v>355.31</v>
      </c>
      <c r="L331">
        <f t="shared" si="17"/>
        <v>355.31</v>
      </c>
    </row>
    <row r="332" spans="1:12" x14ac:dyDescent="0.2">
      <c r="A332" t="s">
        <v>375</v>
      </c>
      <c r="B332" s="1">
        <v>45892</v>
      </c>
      <c r="C332" t="s">
        <v>29</v>
      </c>
      <c r="D332" t="s">
        <v>15</v>
      </c>
      <c r="E332" t="s">
        <v>18</v>
      </c>
      <c r="F332">
        <v>302.60000000000002</v>
      </c>
      <c r="G332" s="2">
        <f t="shared" si="15"/>
        <v>302.60000000000002</v>
      </c>
      <c r="H332">
        <v>1</v>
      </c>
      <c r="I332" s="3">
        <v>0</v>
      </c>
      <c r="J332">
        <v>4</v>
      </c>
      <c r="K332">
        <f t="shared" si="16"/>
        <v>302.60000000000002</v>
      </c>
      <c r="L332">
        <f t="shared" si="17"/>
        <v>302.60000000000002</v>
      </c>
    </row>
    <row r="333" spans="1:12" x14ac:dyDescent="0.2">
      <c r="A333" t="s">
        <v>240</v>
      </c>
      <c r="B333" s="1">
        <v>45760</v>
      </c>
      <c r="C333" t="s">
        <v>34</v>
      </c>
      <c r="D333" t="s">
        <v>11</v>
      </c>
      <c r="E333" t="s">
        <v>18</v>
      </c>
      <c r="F333">
        <v>1434.03</v>
      </c>
      <c r="G333" s="2">
        <f t="shared" si="15"/>
        <v>1434.03</v>
      </c>
      <c r="H333">
        <v>1</v>
      </c>
      <c r="I333" s="3">
        <v>0</v>
      </c>
      <c r="J333">
        <v>4</v>
      </c>
      <c r="K333">
        <f t="shared" si="16"/>
        <v>1434.03</v>
      </c>
      <c r="L333">
        <f t="shared" si="17"/>
        <v>1434.03</v>
      </c>
    </row>
    <row r="334" spans="1:12" x14ac:dyDescent="0.2">
      <c r="A334" t="s">
        <v>505</v>
      </c>
      <c r="B334" s="1">
        <v>45936</v>
      </c>
      <c r="C334" t="s">
        <v>17</v>
      </c>
      <c r="D334" t="s">
        <v>11</v>
      </c>
      <c r="E334" t="s">
        <v>22</v>
      </c>
      <c r="F334">
        <v>1164.71</v>
      </c>
      <c r="G334" s="2">
        <f t="shared" si="15"/>
        <v>1164.71</v>
      </c>
      <c r="H334">
        <v>10</v>
      </c>
      <c r="I334" s="3">
        <v>0</v>
      </c>
      <c r="J334">
        <v>1</v>
      </c>
      <c r="K334">
        <f t="shared" si="16"/>
        <v>11647.1</v>
      </c>
      <c r="L334">
        <f t="shared" si="17"/>
        <v>11647.1</v>
      </c>
    </row>
    <row r="335" spans="1:12" x14ac:dyDescent="0.2">
      <c r="A335" t="s">
        <v>552</v>
      </c>
      <c r="B335" s="1">
        <v>45827</v>
      </c>
      <c r="C335" t="s">
        <v>10</v>
      </c>
      <c r="D335" t="s">
        <v>11</v>
      </c>
      <c r="E335" t="s">
        <v>30</v>
      </c>
      <c r="F335">
        <v>1122.8699999999999</v>
      </c>
      <c r="G335" s="2">
        <f t="shared" si="15"/>
        <v>1122.8699999999999</v>
      </c>
      <c r="H335">
        <v>2</v>
      </c>
      <c r="I335" s="3">
        <v>0</v>
      </c>
      <c r="J335">
        <v>5</v>
      </c>
      <c r="K335">
        <f t="shared" si="16"/>
        <v>2245.7399999999998</v>
      </c>
      <c r="L335">
        <f t="shared" si="17"/>
        <v>2245.7399999999998</v>
      </c>
    </row>
    <row r="336" spans="1:12" x14ac:dyDescent="0.2">
      <c r="A336" t="s">
        <v>673</v>
      </c>
      <c r="B336" s="1">
        <v>45883</v>
      </c>
      <c r="C336" t="s">
        <v>54</v>
      </c>
      <c r="D336" t="s">
        <v>15</v>
      </c>
      <c r="E336" t="s">
        <v>22</v>
      </c>
      <c r="G336" s="2">
        <f t="shared" si="15"/>
        <v>351.86434782608688</v>
      </c>
      <c r="H336">
        <v>5</v>
      </c>
      <c r="I336" s="3">
        <v>0</v>
      </c>
      <c r="J336">
        <v>3</v>
      </c>
      <c r="K336">
        <f t="shared" si="16"/>
        <v>1759.3217391304345</v>
      </c>
      <c r="L336">
        <f t="shared" si="17"/>
        <v>1759.3217391304345</v>
      </c>
    </row>
    <row r="337" spans="1:12" x14ac:dyDescent="0.2">
      <c r="A337" t="s">
        <v>485</v>
      </c>
      <c r="B337" s="1">
        <v>45912</v>
      </c>
      <c r="C337" t="s">
        <v>14</v>
      </c>
      <c r="D337" t="s">
        <v>15</v>
      </c>
      <c r="E337" t="s">
        <v>30</v>
      </c>
      <c r="F337">
        <v>310.54000000000002</v>
      </c>
      <c r="G337" s="2">
        <f t="shared" si="15"/>
        <v>310.54000000000002</v>
      </c>
      <c r="H337">
        <v>3</v>
      </c>
      <c r="I337" s="3">
        <v>0.15</v>
      </c>
      <c r="J337">
        <v>4</v>
      </c>
      <c r="K337">
        <f t="shared" si="16"/>
        <v>931.62000000000012</v>
      </c>
      <c r="L337">
        <f t="shared" si="17"/>
        <v>791.87700000000007</v>
      </c>
    </row>
    <row r="338" spans="1:12" x14ac:dyDescent="0.2">
      <c r="A338" t="s">
        <v>540</v>
      </c>
      <c r="B338" s="1">
        <v>45875</v>
      </c>
      <c r="C338" t="s">
        <v>10</v>
      </c>
      <c r="D338" t="s">
        <v>11</v>
      </c>
      <c r="E338" t="s">
        <v>56</v>
      </c>
      <c r="F338">
        <v>1002.67</v>
      </c>
      <c r="G338" s="2">
        <f t="shared" si="15"/>
        <v>1002.67</v>
      </c>
      <c r="H338">
        <v>1</v>
      </c>
      <c r="I338" s="3">
        <v>0.1</v>
      </c>
      <c r="J338">
        <v>3</v>
      </c>
      <c r="K338">
        <f t="shared" si="16"/>
        <v>1002.67</v>
      </c>
      <c r="L338">
        <f t="shared" si="17"/>
        <v>902.40300000000002</v>
      </c>
    </row>
    <row r="339" spans="1:12" x14ac:dyDescent="0.2">
      <c r="A339" t="s">
        <v>681</v>
      </c>
      <c r="B339" s="1">
        <v>45822</v>
      </c>
      <c r="C339" t="s">
        <v>17</v>
      </c>
      <c r="D339" t="s">
        <v>11</v>
      </c>
      <c r="E339" t="s">
        <v>18</v>
      </c>
      <c r="G339" s="2">
        <f t="shared" si="15"/>
        <v>1177.5582978723407</v>
      </c>
      <c r="H339">
        <v>1</v>
      </c>
      <c r="I339" s="3">
        <v>0</v>
      </c>
      <c r="J339">
        <v>5</v>
      </c>
      <c r="K339">
        <f t="shared" si="16"/>
        <v>1177.5582978723407</v>
      </c>
      <c r="L339">
        <f t="shared" si="17"/>
        <v>1177.5582978723407</v>
      </c>
    </row>
    <row r="340" spans="1:12" x14ac:dyDescent="0.2">
      <c r="A340" t="s">
        <v>579</v>
      </c>
      <c r="B340" s="1">
        <v>45814</v>
      </c>
      <c r="C340" t="s">
        <v>856</v>
      </c>
      <c r="D340" t="s">
        <v>11</v>
      </c>
      <c r="E340" t="s">
        <v>18</v>
      </c>
      <c r="F340">
        <v>1258.79</v>
      </c>
      <c r="G340" s="2">
        <f t="shared" si="15"/>
        <v>1258.79</v>
      </c>
      <c r="H340">
        <v>10</v>
      </c>
      <c r="I340" s="3">
        <v>0.15</v>
      </c>
      <c r="J340">
        <v>5</v>
      </c>
      <c r="K340">
        <f t="shared" si="16"/>
        <v>12587.9</v>
      </c>
      <c r="L340">
        <f t="shared" si="17"/>
        <v>10699.715</v>
      </c>
    </row>
    <row r="341" spans="1:12" x14ac:dyDescent="0.2">
      <c r="A341" t="s">
        <v>493</v>
      </c>
      <c r="B341" s="1">
        <v>45885</v>
      </c>
      <c r="C341" t="s">
        <v>32</v>
      </c>
      <c r="D341" t="s">
        <v>21</v>
      </c>
      <c r="E341" t="s">
        <v>30</v>
      </c>
      <c r="F341">
        <v>1617.5</v>
      </c>
      <c r="G341" s="2">
        <f t="shared" si="15"/>
        <v>1617.5</v>
      </c>
      <c r="H341">
        <v>3</v>
      </c>
      <c r="I341" s="3">
        <v>0.1</v>
      </c>
      <c r="J341">
        <v>1</v>
      </c>
      <c r="K341">
        <f t="shared" si="16"/>
        <v>4852.5</v>
      </c>
      <c r="L341">
        <f t="shared" si="17"/>
        <v>4367.25</v>
      </c>
    </row>
    <row r="342" spans="1:12" x14ac:dyDescent="0.2">
      <c r="A342" t="s">
        <v>843</v>
      </c>
      <c r="B342" s="1">
        <v>45984</v>
      </c>
      <c r="C342" t="s">
        <v>34</v>
      </c>
      <c r="D342" t="s">
        <v>11</v>
      </c>
      <c r="E342" t="s">
        <v>30</v>
      </c>
      <c r="F342">
        <v>1255.69</v>
      </c>
      <c r="G342" s="2">
        <f t="shared" si="15"/>
        <v>1255.69</v>
      </c>
      <c r="H342">
        <v>5</v>
      </c>
      <c r="I342" s="3">
        <v>0</v>
      </c>
      <c r="J342" t="s">
        <v>857</v>
      </c>
      <c r="K342">
        <f t="shared" si="16"/>
        <v>6278.4500000000007</v>
      </c>
      <c r="L342">
        <f t="shared" si="17"/>
        <v>6278.4500000000007</v>
      </c>
    </row>
    <row r="343" spans="1:12" x14ac:dyDescent="0.2">
      <c r="A343" t="s">
        <v>394</v>
      </c>
      <c r="B343" s="1">
        <v>46005</v>
      </c>
      <c r="C343" t="s">
        <v>10</v>
      </c>
      <c r="D343" t="s">
        <v>11</v>
      </c>
      <c r="E343" t="s">
        <v>30</v>
      </c>
      <c r="F343">
        <v>852.46</v>
      </c>
      <c r="G343" s="2">
        <f t="shared" si="15"/>
        <v>852.46</v>
      </c>
      <c r="H343">
        <v>1</v>
      </c>
      <c r="I343" s="3">
        <v>0</v>
      </c>
      <c r="J343">
        <v>3</v>
      </c>
      <c r="K343">
        <f t="shared" si="16"/>
        <v>852.46</v>
      </c>
      <c r="L343">
        <f t="shared" si="17"/>
        <v>852.46</v>
      </c>
    </row>
    <row r="344" spans="1:12" x14ac:dyDescent="0.2">
      <c r="A344" t="s">
        <v>544</v>
      </c>
      <c r="B344" s="1">
        <v>46005</v>
      </c>
      <c r="C344" t="s">
        <v>10</v>
      </c>
      <c r="D344" t="s">
        <v>11</v>
      </c>
      <c r="E344" t="s">
        <v>56</v>
      </c>
      <c r="F344">
        <v>862.21</v>
      </c>
      <c r="G344" s="2">
        <f t="shared" si="15"/>
        <v>862.21</v>
      </c>
      <c r="H344">
        <v>10</v>
      </c>
      <c r="I344" s="3">
        <v>0</v>
      </c>
      <c r="J344">
        <v>3</v>
      </c>
      <c r="K344">
        <f t="shared" si="16"/>
        <v>8622.1</v>
      </c>
      <c r="L344">
        <f t="shared" si="17"/>
        <v>8622.1</v>
      </c>
    </row>
    <row r="345" spans="1:12" x14ac:dyDescent="0.2">
      <c r="A345" t="s">
        <v>848</v>
      </c>
      <c r="B345" s="1">
        <v>45988</v>
      </c>
      <c r="C345" t="s">
        <v>34</v>
      </c>
      <c r="D345" t="s">
        <v>11</v>
      </c>
      <c r="E345" t="s">
        <v>30</v>
      </c>
      <c r="F345">
        <v>1027.57</v>
      </c>
      <c r="G345" s="2">
        <f t="shared" si="15"/>
        <v>1027.57</v>
      </c>
      <c r="H345">
        <v>3</v>
      </c>
      <c r="I345" s="3">
        <v>0</v>
      </c>
      <c r="J345">
        <v>5</v>
      </c>
      <c r="K345">
        <f t="shared" si="16"/>
        <v>3082.71</v>
      </c>
      <c r="L345">
        <f t="shared" si="17"/>
        <v>3082.71</v>
      </c>
    </row>
    <row r="346" spans="1:12" x14ac:dyDescent="0.2">
      <c r="A346" t="s">
        <v>204</v>
      </c>
      <c r="B346" s="1">
        <v>45967</v>
      </c>
      <c r="C346" t="s">
        <v>856</v>
      </c>
      <c r="D346" t="s">
        <v>11</v>
      </c>
      <c r="E346" t="s">
        <v>56</v>
      </c>
      <c r="F346">
        <v>1148.77</v>
      </c>
      <c r="G346" s="2">
        <f t="shared" si="15"/>
        <v>1148.77</v>
      </c>
      <c r="H346">
        <v>1</v>
      </c>
      <c r="I346" s="3">
        <v>0.2</v>
      </c>
      <c r="J346">
        <v>5</v>
      </c>
      <c r="K346">
        <f t="shared" si="16"/>
        <v>1148.77</v>
      </c>
      <c r="L346">
        <f t="shared" si="17"/>
        <v>919.01600000000008</v>
      </c>
    </row>
    <row r="347" spans="1:12" x14ac:dyDescent="0.2">
      <c r="A347" t="s">
        <v>157</v>
      </c>
      <c r="B347" s="1">
        <v>45885</v>
      </c>
      <c r="C347" t="s">
        <v>43</v>
      </c>
      <c r="D347" t="s">
        <v>15</v>
      </c>
      <c r="E347" t="s">
        <v>18</v>
      </c>
      <c r="F347">
        <v>371.76</v>
      </c>
      <c r="G347" s="2">
        <f t="shared" si="15"/>
        <v>371.76</v>
      </c>
      <c r="H347">
        <v>1</v>
      </c>
      <c r="I347" s="3">
        <v>0.15</v>
      </c>
      <c r="J347">
        <v>3</v>
      </c>
      <c r="K347">
        <f t="shared" si="16"/>
        <v>371.76</v>
      </c>
      <c r="L347">
        <f t="shared" si="17"/>
        <v>315.99599999999998</v>
      </c>
    </row>
    <row r="348" spans="1:12" x14ac:dyDescent="0.2">
      <c r="A348" t="s">
        <v>172</v>
      </c>
      <c r="B348" s="1">
        <v>45861</v>
      </c>
      <c r="C348" t="s">
        <v>17</v>
      </c>
      <c r="D348" t="s">
        <v>11</v>
      </c>
      <c r="E348" t="s">
        <v>18</v>
      </c>
      <c r="F348">
        <v>1554.09</v>
      </c>
      <c r="G348" s="2">
        <f t="shared" si="15"/>
        <v>1554.09</v>
      </c>
      <c r="H348">
        <v>3</v>
      </c>
      <c r="I348" s="3">
        <v>0.2</v>
      </c>
      <c r="J348">
        <v>4</v>
      </c>
      <c r="K348">
        <f t="shared" si="16"/>
        <v>4662.2699999999995</v>
      </c>
      <c r="L348">
        <f t="shared" si="17"/>
        <v>3729.8159999999998</v>
      </c>
    </row>
    <row r="349" spans="1:12" x14ac:dyDescent="0.2">
      <c r="A349" t="s">
        <v>259</v>
      </c>
      <c r="B349" s="1">
        <v>45671</v>
      </c>
      <c r="C349" t="s">
        <v>32</v>
      </c>
      <c r="D349" t="s">
        <v>21</v>
      </c>
      <c r="E349" t="s">
        <v>56</v>
      </c>
      <c r="F349">
        <v>2108.7600000000002</v>
      </c>
      <c r="G349" s="2">
        <f t="shared" si="15"/>
        <v>2108.7600000000002</v>
      </c>
      <c r="H349">
        <v>1</v>
      </c>
      <c r="I349" s="3">
        <v>0.1</v>
      </c>
      <c r="J349" t="s">
        <v>857</v>
      </c>
      <c r="K349">
        <f t="shared" si="16"/>
        <v>2108.7600000000002</v>
      </c>
      <c r="L349">
        <f t="shared" si="17"/>
        <v>1897.8840000000002</v>
      </c>
    </row>
    <row r="350" spans="1:12" x14ac:dyDescent="0.2">
      <c r="A350" t="s">
        <v>132</v>
      </c>
      <c r="B350" s="1">
        <v>45718</v>
      </c>
      <c r="C350" t="s">
        <v>54</v>
      </c>
      <c r="D350" t="s">
        <v>15</v>
      </c>
      <c r="E350" t="s">
        <v>56</v>
      </c>
      <c r="F350">
        <v>338.8</v>
      </c>
      <c r="G350" s="2">
        <f t="shared" si="15"/>
        <v>338.8</v>
      </c>
      <c r="H350">
        <v>2</v>
      </c>
      <c r="I350" s="3">
        <v>0</v>
      </c>
      <c r="J350">
        <v>5</v>
      </c>
      <c r="K350">
        <f t="shared" si="16"/>
        <v>677.6</v>
      </c>
      <c r="L350">
        <f t="shared" si="17"/>
        <v>677.6</v>
      </c>
    </row>
    <row r="351" spans="1:12" x14ac:dyDescent="0.2">
      <c r="A351" t="s">
        <v>510</v>
      </c>
      <c r="B351" s="1">
        <v>45804</v>
      </c>
      <c r="C351" t="s">
        <v>32</v>
      </c>
      <c r="D351" t="s">
        <v>21</v>
      </c>
      <c r="E351" t="s">
        <v>56</v>
      </c>
      <c r="F351">
        <v>1793.15</v>
      </c>
      <c r="G351" s="2">
        <f t="shared" si="15"/>
        <v>1793.15</v>
      </c>
      <c r="H351">
        <v>10</v>
      </c>
      <c r="I351" s="3">
        <v>0</v>
      </c>
      <c r="J351">
        <v>2</v>
      </c>
      <c r="K351">
        <f t="shared" si="16"/>
        <v>17931.5</v>
      </c>
      <c r="L351">
        <f t="shared" si="17"/>
        <v>17931.5</v>
      </c>
    </row>
    <row r="352" spans="1:12" x14ac:dyDescent="0.2">
      <c r="A352" t="s">
        <v>69</v>
      </c>
      <c r="B352" s="1">
        <v>45695</v>
      </c>
      <c r="C352" t="s">
        <v>32</v>
      </c>
      <c r="D352" t="s">
        <v>21</v>
      </c>
      <c r="E352" t="s">
        <v>18</v>
      </c>
      <c r="F352">
        <v>1439.09</v>
      </c>
      <c r="G352" s="2">
        <f t="shared" si="15"/>
        <v>1439.09</v>
      </c>
      <c r="H352">
        <v>10</v>
      </c>
      <c r="I352" s="3">
        <v>0</v>
      </c>
      <c r="J352">
        <v>5</v>
      </c>
      <c r="K352">
        <f t="shared" si="16"/>
        <v>14390.9</v>
      </c>
      <c r="L352">
        <f t="shared" si="17"/>
        <v>14390.9</v>
      </c>
    </row>
    <row r="353" spans="1:12" x14ac:dyDescent="0.2">
      <c r="A353" t="s">
        <v>793</v>
      </c>
      <c r="B353" s="1">
        <v>46007</v>
      </c>
      <c r="C353" t="s">
        <v>34</v>
      </c>
      <c r="D353" t="s">
        <v>11</v>
      </c>
      <c r="E353" t="s">
        <v>18</v>
      </c>
      <c r="F353">
        <v>1195.56</v>
      </c>
      <c r="G353" s="2">
        <f t="shared" si="15"/>
        <v>1195.56</v>
      </c>
      <c r="H353">
        <v>3</v>
      </c>
      <c r="I353" s="3">
        <v>0.2</v>
      </c>
      <c r="J353">
        <v>5</v>
      </c>
      <c r="K353">
        <f t="shared" si="16"/>
        <v>3586.68</v>
      </c>
      <c r="L353">
        <f t="shared" si="17"/>
        <v>2869.3440000000001</v>
      </c>
    </row>
    <row r="354" spans="1:12" x14ac:dyDescent="0.2">
      <c r="A354" t="s">
        <v>136</v>
      </c>
      <c r="B354" s="1">
        <v>45939</v>
      </c>
      <c r="C354" t="s">
        <v>29</v>
      </c>
      <c r="D354" t="s">
        <v>15</v>
      </c>
      <c r="E354" t="s">
        <v>56</v>
      </c>
      <c r="F354">
        <v>329.79</v>
      </c>
      <c r="G354" s="2">
        <f t="shared" si="15"/>
        <v>329.79</v>
      </c>
      <c r="H354">
        <v>2</v>
      </c>
      <c r="I354" s="3">
        <v>0</v>
      </c>
      <c r="J354">
        <v>3</v>
      </c>
      <c r="K354">
        <f t="shared" si="16"/>
        <v>659.58</v>
      </c>
      <c r="L354">
        <f t="shared" si="17"/>
        <v>659.58</v>
      </c>
    </row>
    <row r="355" spans="1:12" x14ac:dyDescent="0.2">
      <c r="A355" t="s">
        <v>221</v>
      </c>
      <c r="B355" s="1">
        <v>46016</v>
      </c>
      <c r="C355" t="s">
        <v>29</v>
      </c>
      <c r="D355" t="s">
        <v>15</v>
      </c>
      <c r="E355" t="s">
        <v>30</v>
      </c>
      <c r="F355">
        <v>372.59</v>
      </c>
      <c r="G355" s="2">
        <f t="shared" si="15"/>
        <v>372.59</v>
      </c>
      <c r="H355">
        <v>1</v>
      </c>
      <c r="I355" s="3">
        <v>0</v>
      </c>
      <c r="J355" t="s">
        <v>857</v>
      </c>
      <c r="K355">
        <f t="shared" si="16"/>
        <v>372.59</v>
      </c>
      <c r="L355">
        <f t="shared" si="17"/>
        <v>372.59</v>
      </c>
    </row>
    <row r="356" spans="1:12" x14ac:dyDescent="0.2">
      <c r="A356" t="s">
        <v>427</v>
      </c>
      <c r="B356" s="1">
        <v>45760</v>
      </c>
      <c r="C356" t="s">
        <v>32</v>
      </c>
      <c r="D356" t="s">
        <v>21</v>
      </c>
      <c r="E356" t="s">
        <v>56</v>
      </c>
      <c r="F356">
        <v>1502.2</v>
      </c>
      <c r="G356" s="2">
        <f t="shared" si="15"/>
        <v>1502.2</v>
      </c>
      <c r="H356">
        <v>1</v>
      </c>
      <c r="I356" s="3">
        <v>0</v>
      </c>
      <c r="J356">
        <v>5</v>
      </c>
      <c r="K356">
        <f t="shared" si="16"/>
        <v>1502.2</v>
      </c>
      <c r="L356">
        <f t="shared" si="17"/>
        <v>1502.2</v>
      </c>
    </row>
    <row r="357" spans="1:12" x14ac:dyDescent="0.2">
      <c r="A357" t="s">
        <v>266</v>
      </c>
      <c r="B357" s="1">
        <v>45941</v>
      </c>
      <c r="C357" t="s">
        <v>34</v>
      </c>
      <c r="D357" t="s">
        <v>11</v>
      </c>
      <c r="E357" t="s">
        <v>18</v>
      </c>
      <c r="F357">
        <v>1324.64</v>
      </c>
      <c r="G357" s="2">
        <f t="shared" si="15"/>
        <v>1324.64</v>
      </c>
      <c r="H357">
        <v>3</v>
      </c>
      <c r="I357" s="3">
        <v>0.1</v>
      </c>
      <c r="J357" t="s">
        <v>857</v>
      </c>
      <c r="K357">
        <f t="shared" si="16"/>
        <v>3973.92</v>
      </c>
      <c r="L357">
        <f t="shared" si="17"/>
        <v>3576.5280000000002</v>
      </c>
    </row>
    <row r="358" spans="1:12" x14ac:dyDescent="0.2">
      <c r="A358" t="s">
        <v>515</v>
      </c>
      <c r="B358" s="1">
        <v>45702</v>
      </c>
      <c r="C358" t="s">
        <v>32</v>
      </c>
      <c r="D358" t="s">
        <v>21</v>
      </c>
      <c r="E358" t="s">
        <v>56</v>
      </c>
      <c r="F358">
        <v>2351.79</v>
      </c>
      <c r="G358" s="2">
        <f t="shared" si="15"/>
        <v>2351.79</v>
      </c>
      <c r="H358">
        <v>1</v>
      </c>
      <c r="I358" s="3">
        <v>0</v>
      </c>
      <c r="J358">
        <v>5</v>
      </c>
      <c r="K358">
        <f t="shared" si="16"/>
        <v>2351.79</v>
      </c>
      <c r="L358">
        <f t="shared" si="17"/>
        <v>2351.79</v>
      </c>
    </row>
    <row r="359" spans="1:12" x14ac:dyDescent="0.2">
      <c r="A359" t="s">
        <v>173</v>
      </c>
      <c r="B359" s="1">
        <v>45903</v>
      </c>
      <c r="C359" t="s">
        <v>29</v>
      </c>
      <c r="D359" t="s">
        <v>15</v>
      </c>
      <c r="E359" t="s">
        <v>30</v>
      </c>
      <c r="F359">
        <v>342.39</v>
      </c>
      <c r="G359" s="2">
        <f t="shared" si="15"/>
        <v>342.39</v>
      </c>
      <c r="H359">
        <v>5</v>
      </c>
      <c r="I359" s="3">
        <v>0.1</v>
      </c>
      <c r="J359">
        <v>2</v>
      </c>
      <c r="K359">
        <f t="shared" si="16"/>
        <v>1711.9499999999998</v>
      </c>
      <c r="L359">
        <f t="shared" si="17"/>
        <v>1540.7549999999999</v>
      </c>
    </row>
    <row r="360" spans="1:12" x14ac:dyDescent="0.2">
      <c r="A360" t="s">
        <v>645</v>
      </c>
      <c r="B360" s="1">
        <v>45986</v>
      </c>
      <c r="C360" t="s">
        <v>32</v>
      </c>
      <c r="D360" t="s">
        <v>21</v>
      </c>
      <c r="E360" t="s">
        <v>18</v>
      </c>
      <c r="F360">
        <v>1944.62</v>
      </c>
      <c r="G360" s="2">
        <f t="shared" si="15"/>
        <v>1944.62</v>
      </c>
      <c r="H360">
        <v>1</v>
      </c>
      <c r="I360" s="3">
        <v>0.1</v>
      </c>
      <c r="J360">
        <v>5</v>
      </c>
      <c r="K360">
        <f t="shared" si="16"/>
        <v>1944.62</v>
      </c>
      <c r="L360">
        <f t="shared" si="17"/>
        <v>1750.1579999999999</v>
      </c>
    </row>
    <row r="361" spans="1:12" x14ac:dyDescent="0.2">
      <c r="A361" t="s">
        <v>496</v>
      </c>
      <c r="B361" s="1">
        <v>45834</v>
      </c>
      <c r="C361" t="s">
        <v>856</v>
      </c>
      <c r="D361" t="s">
        <v>11</v>
      </c>
      <c r="E361" t="s">
        <v>56</v>
      </c>
      <c r="F361">
        <v>1365.63</v>
      </c>
      <c r="G361" s="2">
        <f t="shared" si="15"/>
        <v>1365.63</v>
      </c>
      <c r="H361">
        <v>1</v>
      </c>
      <c r="I361" s="3">
        <v>0.15</v>
      </c>
      <c r="J361">
        <v>3</v>
      </c>
      <c r="K361">
        <f t="shared" si="16"/>
        <v>1365.63</v>
      </c>
      <c r="L361">
        <f t="shared" si="17"/>
        <v>1160.7855</v>
      </c>
    </row>
    <row r="362" spans="1:12" x14ac:dyDescent="0.2">
      <c r="A362" t="s">
        <v>115</v>
      </c>
      <c r="B362" s="1">
        <v>45879</v>
      </c>
      <c r="C362" t="s">
        <v>10</v>
      </c>
      <c r="D362" t="s">
        <v>11</v>
      </c>
      <c r="E362" t="s">
        <v>30</v>
      </c>
      <c r="F362">
        <v>1103.71</v>
      </c>
      <c r="G362" s="2">
        <f t="shared" si="15"/>
        <v>1103.71</v>
      </c>
      <c r="H362">
        <v>1</v>
      </c>
      <c r="I362" s="3">
        <v>0</v>
      </c>
      <c r="J362" t="s">
        <v>857</v>
      </c>
      <c r="K362">
        <f t="shared" si="16"/>
        <v>1103.71</v>
      </c>
      <c r="L362">
        <f t="shared" si="17"/>
        <v>1103.71</v>
      </c>
    </row>
    <row r="363" spans="1:12" x14ac:dyDescent="0.2">
      <c r="A363" t="s">
        <v>842</v>
      </c>
      <c r="B363" s="1">
        <v>45742</v>
      </c>
      <c r="C363" t="s">
        <v>32</v>
      </c>
      <c r="D363" t="s">
        <v>21</v>
      </c>
      <c r="E363" t="s">
        <v>18</v>
      </c>
      <c r="F363">
        <v>1880.67</v>
      </c>
      <c r="G363" s="2">
        <f t="shared" si="15"/>
        <v>1880.67</v>
      </c>
      <c r="H363">
        <v>1</v>
      </c>
      <c r="I363" s="3">
        <v>0</v>
      </c>
      <c r="J363">
        <v>4</v>
      </c>
      <c r="K363">
        <f t="shared" si="16"/>
        <v>1880.67</v>
      </c>
      <c r="L363">
        <f t="shared" si="17"/>
        <v>1880.67</v>
      </c>
    </row>
    <row r="364" spans="1:12" x14ac:dyDescent="0.2">
      <c r="A364" t="s">
        <v>62</v>
      </c>
      <c r="B364" s="1">
        <v>45803</v>
      </c>
      <c r="C364" t="s">
        <v>43</v>
      </c>
      <c r="D364" t="s">
        <v>15</v>
      </c>
      <c r="E364" t="s">
        <v>56</v>
      </c>
      <c r="G364" s="2">
        <f t="shared" si="15"/>
        <v>362.89299999999997</v>
      </c>
      <c r="H364">
        <v>1</v>
      </c>
      <c r="I364" s="3">
        <v>0</v>
      </c>
      <c r="J364">
        <v>4</v>
      </c>
      <c r="K364">
        <f t="shared" si="16"/>
        <v>362.89299999999997</v>
      </c>
      <c r="L364">
        <f t="shared" si="17"/>
        <v>362.89299999999997</v>
      </c>
    </row>
    <row r="365" spans="1:12" x14ac:dyDescent="0.2">
      <c r="A365" t="s">
        <v>461</v>
      </c>
      <c r="B365" s="1">
        <v>45798</v>
      </c>
      <c r="C365" t="s">
        <v>856</v>
      </c>
      <c r="D365" t="s">
        <v>11</v>
      </c>
      <c r="E365" t="s">
        <v>56</v>
      </c>
      <c r="F365">
        <v>1223.44</v>
      </c>
      <c r="G365" s="2">
        <f t="shared" si="15"/>
        <v>1223.44</v>
      </c>
      <c r="H365">
        <v>1</v>
      </c>
      <c r="I365" s="3">
        <v>0.2</v>
      </c>
      <c r="J365">
        <v>4</v>
      </c>
      <c r="K365">
        <f t="shared" si="16"/>
        <v>1223.44</v>
      </c>
      <c r="L365">
        <f t="shared" si="17"/>
        <v>978.75200000000007</v>
      </c>
    </row>
    <row r="366" spans="1:12" x14ac:dyDescent="0.2">
      <c r="A366" t="s">
        <v>622</v>
      </c>
      <c r="B366" s="1">
        <v>45705</v>
      </c>
      <c r="C366" t="s">
        <v>856</v>
      </c>
      <c r="D366" t="s">
        <v>11</v>
      </c>
      <c r="E366" t="s">
        <v>56</v>
      </c>
      <c r="F366">
        <v>1014.48</v>
      </c>
      <c r="G366" s="2">
        <f t="shared" si="15"/>
        <v>1014.48</v>
      </c>
      <c r="H366">
        <v>1</v>
      </c>
      <c r="I366" s="3">
        <v>0.15</v>
      </c>
      <c r="J366">
        <v>3</v>
      </c>
      <c r="K366">
        <f t="shared" si="16"/>
        <v>1014.48</v>
      </c>
      <c r="L366">
        <f t="shared" si="17"/>
        <v>862.30799999999999</v>
      </c>
    </row>
    <row r="367" spans="1:12" x14ac:dyDescent="0.2">
      <c r="A367" t="s">
        <v>296</v>
      </c>
      <c r="B367" s="1">
        <v>45672</v>
      </c>
      <c r="C367" t="s">
        <v>10</v>
      </c>
      <c r="D367" t="s">
        <v>11</v>
      </c>
      <c r="E367" t="s">
        <v>18</v>
      </c>
      <c r="F367">
        <v>1319.52</v>
      </c>
      <c r="G367" s="2">
        <f t="shared" si="15"/>
        <v>1319.52</v>
      </c>
      <c r="H367">
        <v>1</v>
      </c>
      <c r="I367" s="3">
        <v>0</v>
      </c>
      <c r="J367">
        <v>4</v>
      </c>
      <c r="K367">
        <f t="shared" si="16"/>
        <v>1319.52</v>
      </c>
      <c r="L367">
        <f t="shared" si="17"/>
        <v>1319.52</v>
      </c>
    </row>
    <row r="368" spans="1:12" x14ac:dyDescent="0.2">
      <c r="A368" t="s">
        <v>310</v>
      </c>
      <c r="B368" s="1">
        <v>45950</v>
      </c>
      <c r="C368" t="s">
        <v>856</v>
      </c>
      <c r="D368" t="s">
        <v>11</v>
      </c>
      <c r="E368" t="s">
        <v>30</v>
      </c>
      <c r="F368">
        <v>1548.27</v>
      </c>
      <c r="G368" s="2">
        <f t="shared" si="15"/>
        <v>1548.27</v>
      </c>
      <c r="H368">
        <v>5</v>
      </c>
      <c r="I368" s="3">
        <v>0.15</v>
      </c>
      <c r="J368">
        <v>1</v>
      </c>
      <c r="K368">
        <f t="shared" si="16"/>
        <v>7741.35</v>
      </c>
      <c r="L368">
        <f t="shared" si="17"/>
        <v>6580.1475</v>
      </c>
    </row>
    <row r="369" spans="1:12" x14ac:dyDescent="0.2">
      <c r="A369" t="s">
        <v>749</v>
      </c>
      <c r="B369" s="1">
        <v>45937</v>
      </c>
      <c r="C369" t="s">
        <v>14</v>
      </c>
      <c r="D369" t="s">
        <v>15</v>
      </c>
      <c r="E369" t="s">
        <v>30</v>
      </c>
      <c r="F369">
        <v>417.15</v>
      </c>
      <c r="G369" s="2">
        <f t="shared" si="15"/>
        <v>417.15</v>
      </c>
      <c r="H369">
        <v>2</v>
      </c>
      <c r="I369" s="3">
        <v>0.2</v>
      </c>
      <c r="J369">
        <v>4</v>
      </c>
      <c r="K369">
        <f t="shared" si="16"/>
        <v>834.3</v>
      </c>
      <c r="L369">
        <f t="shared" si="17"/>
        <v>667.44</v>
      </c>
    </row>
    <row r="370" spans="1:12" x14ac:dyDescent="0.2">
      <c r="A370" t="s">
        <v>806</v>
      </c>
      <c r="B370" s="1">
        <v>46008</v>
      </c>
      <c r="C370" t="s">
        <v>14</v>
      </c>
      <c r="D370" t="s">
        <v>15</v>
      </c>
      <c r="E370" t="s">
        <v>30</v>
      </c>
      <c r="F370">
        <v>500.72</v>
      </c>
      <c r="G370" s="2">
        <f t="shared" si="15"/>
        <v>500.72</v>
      </c>
      <c r="H370">
        <v>5</v>
      </c>
      <c r="I370" s="3">
        <v>0</v>
      </c>
      <c r="J370">
        <v>5</v>
      </c>
      <c r="K370">
        <f t="shared" si="16"/>
        <v>2503.6000000000004</v>
      </c>
      <c r="L370">
        <f t="shared" si="17"/>
        <v>2503.6000000000004</v>
      </c>
    </row>
    <row r="371" spans="1:12" x14ac:dyDescent="0.2">
      <c r="A371" t="s">
        <v>232</v>
      </c>
      <c r="B371" s="1">
        <v>45688</v>
      </c>
      <c r="C371" t="s">
        <v>34</v>
      </c>
      <c r="D371" t="s">
        <v>11</v>
      </c>
      <c r="E371" t="s">
        <v>30</v>
      </c>
      <c r="F371">
        <v>1015.84</v>
      </c>
      <c r="G371" s="2">
        <f t="shared" si="15"/>
        <v>1015.84</v>
      </c>
      <c r="H371">
        <v>1</v>
      </c>
      <c r="I371" s="3">
        <v>0.1</v>
      </c>
      <c r="J371">
        <v>5</v>
      </c>
      <c r="K371">
        <f t="shared" si="16"/>
        <v>1015.84</v>
      </c>
      <c r="L371">
        <f t="shared" si="17"/>
        <v>914.25600000000009</v>
      </c>
    </row>
    <row r="372" spans="1:12" x14ac:dyDescent="0.2">
      <c r="A372" t="s">
        <v>433</v>
      </c>
      <c r="B372" s="1">
        <v>45762</v>
      </c>
      <c r="C372" t="s">
        <v>14</v>
      </c>
      <c r="D372" t="s">
        <v>15</v>
      </c>
      <c r="E372" t="s">
        <v>22</v>
      </c>
      <c r="F372">
        <v>411.06</v>
      </c>
      <c r="G372" s="2">
        <f t="shared" si="15"/>
        <v>411.06</v>
      </c>
      <c r="H372">
        <v>3</v>
      </c>
      <c r="I372" s="3">
        <v>0.15</v>
      </c>
      <c r="J372">
        <v>3</v>
      </c>
      <c r="K372">
        <f t="shared" si="16"/>
        <v>1233.18</v>
      </c>
      <c r="L372">
        <f t="shared" si="17"/>
        <v>1048.203</v>
      </c>
    </row>
    <row r="373" spans="1:12" x14ac:dyDescent="0.2">
      <c r="A373" t="s">
        <v>463</v>
      </c>
      <c r="B373" s="1">
        <v>45821</v>
      </c>
      <c r="C373" t="s">
        <v>43</v>
      </c>
      <c r="D373" t="s">
        <v>15</v>
      </c>
      <c r="E373" t="s">
        <v>18</v>
      </c>
      <c r="F373">
        <v>362.83</v>
      </c>
      <c r="G373" s="2">
        <f t="shared" si="15"/>
        <v>362.83</v>
      </c>
      <c r="H373">
        <v>3</v>
      </c>
      <c r="I373" s="3">
        <v>0.1</v>
      </c>
      <c r="J373">
        <v>3</v>
      </c>
      <c r="K373">
        <f t="shared" si="16"/>
        <v>1088.49</v>
      </c>
      <c r="L373">
        <f t="shared" si="17"/>
        <v>979.64100000000008</v>
      </c>
    </row>
    <row r="374" spans="1:12" x14ac:dyDescent="0.2">
      <c r="A374" t="s">
        <v>528</v>
      </c>
      <c r="B374" s="1">
        <v>45921</v>
      </c>
      <c r="C374" t="s">
        <v>10</v>
      </c>
      <c r="D374" t="s">
        <v>11</v>
      </c>
      <c r="E374" t="s">
        <v>18</v>
      </c>
      <c r="F374">
        <v>1725.55</v>
      </c>
      <c r="G374" s="2">
        <f t="shared" si="15"/>
        <v>1725.55</v>
      </c>
      <c r="H374">
        <v>1</v>
      </c>
      <c r="I374" s="3">
        <v>0</v>
      </c>
      <c r="J374">
        <v>4</v>
      </c>
      <c r="K374">
        <f t="shared" si="16"/>
        <v>1725.55</v>
      </c>
      <c r="L374">
        <f t="shared" si="17"/>
        <v>1725.55</v>
      </c>
    </row>
    <row r="375" spans="1:12" x14ac:dyDescent="0.2">
      <c r="A375" t="s">
        <v>58</v>
      </c>
      <c r="B375" s="1">
        <v>45794</v>
      </c>
      <c r="C375" t="s">
        <v>14</v>
      </c>
      <c r="D375" t="s">
        <v>15</v>
      </c>
      <c r="E375" t="s">
        <v>56</v>
      </c>
      <c r="F375">
        <v>293.42</v>
      </c>
      <c r="G375" s="2">
        <f t="shared" si="15"/>
        <v>293.42</v>
      </c>
      <c r="H375">
        <v>10</v>
      </c>
      <c r="I375" s="3">
        <v>0</v>
      </c>
      <c r="J375">
        <v>3</v>
      </c>
      <c r="K375">
        <f t="shared" si="16"/>
        <v>2934.2000000000003</v>
      </c>
      <c r="L375">
        <f t="shared" si="17"/>
        <v>2934.2000000000003</v>
      </c>
    </row>
    <row r="376" spans="1:12" x14ac:dyDescent="0.2">
      <c r="A376" t="s">
        <v>619</v>
      </c>
      <c r="B376" s="1">
        <v>45806</v>
      </c>
      <c r="C376" t="s">
        <v>34</v>
      </c>
      <c r="D376" t="s">
        <v>11</v>
      </c>
      <c r="E376" t="s">
        <v>56</v>
      </c>
      <c r="F376">
        <v>998.47</v>
      </c>
      <c r="G376" s="2">
        <f t="shared" si="15"/>
        <v>998.47</v>
      </c>
      <c r="H376">
        <v>5</v>
      </c>
      <c r="I376" s="3">
        <v>0.15</v>
      </c>
      <c r="J376">
        <v>5</v>
      </c>
      <c r="K376">
        <f t="shared" si="16"/>
        <v>4992.3500000000004</v>
      </c>
      <c r="L376">
        <f t="shared" si="17"/>
        <v>4243.4975000000004</v>
      </c>
    </row>
    <row r="377" spans="1:12" x14ac:dyDescent="0.2">
      <c r="A377" t="s">
        <v>193</v>
      </c>
      <c r="B377" s="1">
        <v>45739</v>
      </c>
      <c r="C377" t="s">
        <v>32</v>
      </c>
      <c r="D377" t="s">
        <v>21</v>
      </c>
      <c r="E377" t="s">
        <v>18</v>
      </c>
      <c r="F377">
        <v>1584.22</v>
      </c>
      <c r="G377" s="2">
        <f t="shared" si="15"/>
        <v>1584.22</v>
      </c>
      <c r="H377">
        <v>3</v>
      </c>
      <c r="I377" s="3">
        <v>0.15</v>
      </c>
      <c r="J377">
        <v>5</v>
      </c>
      <c r="K377">
        <f t="shared" si="16"/>
        <v>4752.66</v>
      </c>
      <c r="L377">
        <f t="shared" si="17"/>
        <v>4039.761</v>
      </c>
    </row>
    <row r="378" spans="1:12" x14ac:dyDescent="0.2">
      <c r="A378" t="s">
        <v>224</v>
      </c>
      <c r="B378" s="1">
        <v>45739</v>
      </c>
      <c r="C378" t="s">
        <v>32</v>
      </c>
      <c r="D378" t="s">
        <v>21</v>
      </c>
      <c r="E378" t="s">
        <v>18</v>
      </c>
      <c r="F378">
        <v>1035.4000000000001</v>
      </c>
      <c r="G378" s="2">
        <f t="shared" si="15"/>
        <v>1035.4000000000001</v>
      </c>
      <c r="H378">
        <v>10</v>
      </c>
      <c r="I378" s="3">
        <v>0.15</v>
      </c>
      <c r="J378">
        <v>5</v>
      </c>
      <c r="K378">
        <f t="shared" si="16"/>
        <v>10354</v>
      </c>
      <c r="L378">
        <f t="shared" si="17"/>
        <v>8800.9</v>
      </c>
    </row>
    <row r="379" spans="1:12" x14ac:dyDescent="0.2">
      <c r="A379" t="s">
        <v>534</v>
      </c>
      <c r="B379" s="1">
        <v>45912</v>
      </c>
      <c r="C379" t="s">
        <v>14</v>
      </c>
      <c r="D379" t="s">
        <v>15</v>
      </c>
      <c r="E379" t="s">
        <v>18</v>
      </c>
      <c r="F379">
        <v>313.2</v>
      </c>
      <c r="G379" s="2">
        <f t="shared" si="15"/>
        <v>313.2</v>
      </c>
      <c r="H379">
        <v>1</v>
      </c>
      <c r="I379" s="3">
        <v>0</v>
      </c>
      <c r="J379">
        <v>5</v>
      </c>
      <c r="K379">
        <f t="shared" si="16"/>
        <v>313.2</v>
      </c>
      <c r="L379">
        <f t="shared" si="17"/>
        <v>313.2</v>
      </c>
    </row>
    <row r="380" spans="1:12" x14ac:dyDescent="0.2">
      <c r="A380" t="s">
        <v>446</v>
      </c>
      <c r="B380" s="1">
        <v>45781</v>
      </c>
      <c r="C380" t="s">
        <v>17</v>
      </c>
      <c r="D380" t="s">
        <v>11</v>
      </c>
      <c r="E380" t="s">
        <v>22</v>
      </c>
      <c r="F380">
        <v>1017.81</v>
      </c>
      <c r="G380" s="2">
        <f t="shared" si="15"/>
        <v>1017.81</v>
      </c>
      <c r="H380">
        <v>2</v>
      </c>
      <c r="I380" s="3">
        <v>0.15</v>
      </c>
      <c r="J380">
        <v>5</v>
      </c>
      <c r="K380">
        <f t="shared" si="16"/>
        <v>2035.62</v>
      </c>
      <c r="L380">
        <f t="shared" si="17"/>
        <v>1730.2769999999998</v>
      </c>
    </row>
    <row r="381" spans="1:12" x14ac:dyDescent="0.2">
      <c r="A381" t="s">
        <v>55</v>
      </c>
      <c r="B381" s="1">
        <v>45802</v>
      </c>
      <c r="C381" t="s">
        <v>34</v>
      </c>
      <c r="D381" t="s">
        <v>11</v>
      </c>
      <c r="E381" t="s">
        <v>56</v>
      </c>
      <c r="F381">
        <v>1236.0899999999999</v>
      </c>
      <c r="G381" s="2">
        <f t="shared" si="15"/>
        <v>1236.0899999999999</v>
      </c>
      <c r="H381">
        <v>10</v>
      </c>
      <c r="I381" s="3">
        <v>0.15</v>
      </c>
      <c r="J381">
        <v>5</v>
      </c>
      <c r="K381">
        <f t="shared" si="16"/>
        <v>12360.9</v>
      </c>
      <c r="L381">
        <f t="shared" si="17"/>
        <v>10506.764999999999</v>
      </c>
    </row>
    <row r="382" spans="1:12" x14ac:dyDescent="0.2">
      <c r="A382" t="s">
        <v>580</v>
      </c>
      <c r="B382" s="1">
        <v>45662</v>
      </c>
      <c r="C382" t="s">
        <v>43</v>
      </c>
      <c r="D382" t="s">
        <v>15</v>
      </c>
      <c r="E382" t="s">
        <v>860</v>
      </c>
      <c r="F382">
        <v>373.92</v>
      </c>
      <c r="G382" s="2">
        <f t="shared" si="15"/>
        <v>373.92</v>
      </c>
      <c r="H382">
        <v>1</v>
      </c>
      <c r="I382" s="3">
        <v>0.1</v>
      </c>
      <c r="J382">
        <v>3</v>
      </c>
      <c r="K382">
        <f t="shared" si="16"/>
        <v>373.92</v>
      </c>
      <c r="L382">
        <f t="shared" si="17"/>
        <v>336.52800000000002</v>
      </c>
    </row>
    <row r="383" spans="1:12" x14ac:dyDescent="0.2">
      <c r="A383" t="s">
        <v>235</v>
      </c>
      <c r="B383" s="1">
        <v>45845</v>
      </c>
      <c r="C383" t="s">
        <v>26</v>
      </c>
      <c r="D383" t="s">
        <v>27</v>
      </c>
      <c r="E383" t="s">
        <v>18</v>
      </c>
      <c r="F383">
        <v>825.14</v>
      </c>
      <c r="G383" s="2">
        <f t="shared" si="15"/>
        <v>825.14</v>
      </c>
      <c r="H383">
        <v>5</v>
      </c>
      <c r="I383" s="3">
        <v>0</v>
      </c>
      <c r="J383">
        <v>1</v>
      </c>
      <c r="K383">
        <f t="shared" si="16"/>
        <v>4125.7</v>
      </c>
      <c r="L383">
        <f t="shared" si="17"/>
        <v>4125.7</v>
      </c>
    </row>
    <row r="384" spans="1:12" x14ac:dyDescent="0.2">
      <c r="A384" t="s">
        <v>79</v>
      </c>
      <c r="B384" s="1">
        <v>45949</v>
      </c>
      <c r="C384" t="s">
        <v>54</v>
      </c>
      <c r="D384" t="s">
        <v>15</v>
      </c>
      <c r="E384" t="s">
        <v>56</v>
      </c>
      <c r="F384">
        <v>416.53</v>
      </c>
      <c r="G384" s="2">
        <f t="shared" si="15"/>
        <v>416.53</v>
      </c>
      <c r="H384">
        <v>2</v>
      </c>
      <c r="I384" s="3">
        <v>0</v>
      </c>
      <c r="J384" t="s">
        <v>857</v>
      </c>
      <c r="K384">
        <f t="shared" si="16"/>
        <v>833.06</v>
      </c>
      <c r="L384">
        <f t="shared" si="17"/>
        <v>833.06</v>
      </c>
    </row>
    <row r="385" spans="1:12" x14ac:dyDescent="0.2">
      <c r="A385" t="s">
        <v>71</v>
      </c>
      <c r="B385" s="1">
        <v>45855</v>
      </c>
      <c r="C385" t="s">
        <v>43</v>
      </c>
      <c r="D385" t="s">
        <v>15</v>
      </c>
      <c r="E385" t="s">
        <v>56</v>
      </c>
      <c r="F385">
        <v>309.62</v>
      </c>
      <c r="G385" s="2">
        <f t="shared" si="15"/>
        <v>309.62</v>
      </c>
      <c r="H385">
        <v>10</v>
      </c>
      <c r="I385" s="3">
        <v>0.15</v>
      </c>
      <c r="J385">
        <v>4</v>
      </c>
      <c r="K385">
        <f t="shared" si="16"/>
        <v>3096.2</v>
      </c>
      <c r="L385">
        <f t="shared" si="17"/>
        <v>2631.77</v>
      </c>
    </row>
    <row r="386" spans="1:12" x14ac:dyDescent="0.2">
      <c r="A386" t="s">
        <v>293</v>
      </c>
      <c r="B386" s="1">
        <v>46006</v>
      </c>
      <c r="C386" t="s">
        <v>10</v>
      </c>
      <c r="D386" t="s">
        <v>11</v>
      </c>
      <c r="E386" t="s">
        <v>56</v>
      </c>
      <c r="F386">
        <v>984.38</v>
      </c>
      <c r="G386" s="2">
        <f t="shared" ref="G386:G449" si="18">IF(F386="", AVERAGEIF(C:C, C386, F:F), F386)</f>
        <v>984.38</v>
      </c>
      <c r="H386">
        <v>1</v>
      </c>
      <c r="I386" s="3">
        <v>0</v>
      </c>
      <c r="J386">
        <v>2</v>
      </c>
      <c r="K386">
        <f t="shared" si="16"/>
        <v>984.38</v>
      </c>
      <c r="L386">
        <f t="shared" si="17"/>
        <v>984.38</v>
      </c>
    </row>
    <row r="387" spans="1:12" x14ac:dyDescent="0.2">
      <c r="A387" t="s">
        <v>835</v>
      </c>
      <c r="B387" s="1">
        <v>45831</v>
      </c>
      <c r="C387" t="s">
        <v>54</v>
      </c>
      <c r="D387" t="s">
        <v>15</v>
      </c>
      <c r="E387" t="s">
        <v>18</v>
      </c>
      <c r="F387">
        <v>384.43</v>
      </c>
      <c r="G387" s="2">
        <f t="shared" si="18"/>
        <v>384.43</v>
      </c>
      <c r="H387">
        <v>3</v>
      </c>
      <c r="I387" s="3">
        <v>0</v>
      </c>
      <c r="J387">
        <v>4</v>
      </c>
      <c r="K387">
        <f t="shared" ref="K387:K450" si="19">G387*H387</f>
        <v>1153.29</v>
      </c>
      <c r="L387">
        <f t="shared" ref="L387:L450" si="20">G387*H387*(1-I387)</f>
        <v>1153.29</v>
      </c>
    </row>
    <row r="388" spans="1:12" x14ac:dyDescent="0.2">
      <c r="A388" t="s">
        <v>202</v>
      </c>
      <c r="B388" s="1">
        <v>45863</v>
      </c>
      <c r="C388" t="s">
        <v>856</v>
      </c>
      <c r="D388" t="s">
        <v>11</v>
      </c>
      <c r="E388" t="s">
        <v>56</v>
      </c>
      <c r="G388" s="2">
        <f t="shared" si="18"/>
        <v>1225.2512631578948</v>
      </c>
      <c r="H388">
        <v>1</v>
      </c>
      <c r="I388" s="3">
        <v>0</v>
      </c>
      <c r="J388">
        <v>1</v>
      </c>
      <c r="K388">
        <f t="shared" si="19"/>
        <v>1225.2512631578948</v>
      </c>
      <c r="L388">
        <f t="shared" si="20"/>
        <v>1225.2512631578948</v>
      </c>
    </row>
    <row r="389" spans="1:12" x14ac:dyDescent="0.2">
      <c r="A389" t="s">
        <v>770</v>
      </c>
      <c r="B389" s="1">
        <v>45828</v>
      </c>
      <c r="C389" t="s">
        <v>32</v>
      </c>
      <c r="D389" t="s">
        <v>21</v>
      </c>
      <c r="E389" t="s">
        <v>30</v>
      </c>
      <c r="F389">
        <v>2459.33</v>
      </c>
      <c r="G389" s="2">
        <f t="shared" si="18"/>
        <v>2459.33</v>
      </c>
      <c r="H389">
        <v>10</v>
      </c>
      <c r="I389" s="3">
        <v>0.15</v>
      </c>
      <c r="J389">
        <v>5</v>
      </c>
      <c r="K389">
        <f t="shared" si="19"/>
        <v>24593.3</v>
      </c>
      <c r="L389">
        <f t="shared" si="20"/>
        <v>20904.305</v>
      </c>
    </row>
    <row r="390" spans="1:12" x14ac:dyDescent="0.2">
      <c r="A390" t="s">
        <v>448</v>
      </c>
      <c r="B390" s="1">
        <v>45921</v>
      </c>
      <c r="C390" t="s">
        <v>32</v>
      </c>
      <c r="D390" t="s">
        <v>21</v>
      </c>
      <c r="E390" t="s">
        <v>56</v>
      </c>
      <c r="F390">
        <v>2224.6</v>
      </c>
      <c r="G390" s="2">
        <f t="shared" si="18"/>
        <v>2224.6</v>
      </c>
      <c r="H390">
        <v>1</v>
      </c>
      <c r="I390" s="3">
        <v>0</v>
      </c>
      <c r="J390">
        <v>5</v>
      </c>
      <c r="K390">
        <f t="shared" si="19"/>
        <v>2224.6</v>
      </c>
      <c r="L390">
        <f t="shared" si="20"/>
        <v>2224.6</v>
      </c>
    </row>
    <row r="391" spans="1:12" x14ac:dyDescent="0.2">
      <c r="A391" t="s">
        <v>116</v>
      </c>
      <c r="B391" s="1">
        <v>45973</v>
      </c>
      <c r="C391" t="s">
        <v>32</v>
      </c>
      <c r="D391" t="s">
        <v>21</v>
      </c>
      <c r="E391" t="s">
        <v>22</v>
      </c>
      <c r="F391">
        <v>1631.1</v>
      </c>
      <c r="G391" s="2">
        <f t="shared" si="18"/>
        <v>1631.1</v>
      </c>
      <c r="H391">
        <v>2</v>
      </c>
      <c r="I391" s="3">
        <v>0.15</v>
      </c>
      <c r="J391">
        <v>5</v>
      </c>
      <c r="K391">
        <f t="shared" si="19"/>
        <v>3262.2</v>
      </c>
      <c r="L391">
        <f t="shared" si="20"/>
        <v>2772.87</v>
      </c>
    </row>
    <row r="392" spans="1:12" x14ac:dyDescent="0.2">
      <c r="A392" t="s">
        <v>343</v>
      </c>
      <c r="B392" s="1">
        <v>45918</v>
      </c>
      <c r="C392" t="s">
        <v>17</v>
      </c>
      <c r="D392" t="s">
        <v>11</v>
      </c>
      <c r="E392" t="s">
        <v>18</v>
      </c>
      <c r="F392">
        <v>788.85</v>
      </c>
      <c r="G392" s="2">
        <f t="shared" si="18"/>
        <v>788.85</v>
      </c>
      <c r="H392">
        <v>10</v>
      </c>
      <c r="I392" s="3">
        <v>0.2</v>
      </c>
      <c r="J392">
        <v>4</v>
      </c>
      <c r="K392">
        <f t="shared" si="19"/>
        <v>7888.5</v>
      </c>
      <c r="L392">
        <f t="shared" si="20"/>
        <v>6310.8</v>
      </c>
    </row>
    <row r="393" spans="1:12" x14ac:dyDescent="0.2">
      <c r="A393" t="s">
        <v>13</v>
      </c>
      <c r="B393" s="1">
        <v>45666</v>
      </c>
      <c r="C393" t="s">
        <v>14</v>
      </c>
      <c r="D393" t="s">
        <v>15</v>
      </c>
      <c r="E393" t="s">
        <v>18</v>
      </c>
      <c r="F393">
        <v>444.77</v>
      </c>
      <c r="G393" s="2">
        <f t="shared" si="18"/>
        <v>444.77</v>
      </c>
      <c r="H393">
        <v>3</v>
      </c>
      <c r="I393" s="3">
        <v>0</v>
      </c>
      <c r="J393">
        <v>2</v>
      </c>
      <c r="K393">
        <f t="shared" si="19"/>
        <v>1334.31</v>
      </c>
      <c r="L393">
        <f t="shared" si="20"/>
        <v>1334.31</v>
      </c>
    </row>
    <row r="394" spans="1:12" x14ac:dyDescent="0.2">
      <c r="A394" t="s">
        <v>846</v>
      </c>
      <c r="B394" s="1">
        <v>45815</v>
      </c>
      <c r="C394" t="s">
        <v>54</v>
      </c>
      <c r="D394" t="s">
        <v>15</v>
      </c>
      <c r="E394" t="s">
        <v>56</v>
      </c>
      <c r="F394">
        <v>341.98</v>
      </c>
      <c r="G394" s="2">
        <f t="shared" si="18"/>
        <v>341.98</v>
      </c>
      <c r="H394">
        <v>1</v>
      </c>
      <c r="I394" s="3">
        <v>0.15</v>
      </c>
      <c r="J394">
        <v>5</v>
      </c>
      <c r="K394">
        <f t="shared" si="19"/>
        <v>341.98</v>
      </c>
      <c r="L394">
        <f t="shared" si="20"/>
        <v>290.68299999999999</v>
      </c>
    </row>
    <row r="395" spans="1:12" x14ac:dyDescent="0.2">
      <c r="A395" t="s">
        <v>245</v>
      </c>
      <c r="B395" s="1">
        <v>45954</v>
      </c>
      <c r="C395" t="s">
        <v>43</v>
      </c>
      <c r="D395" t="s">
        <v>15</v>
      </c>
      <c r="E395" t="s">
        <v>30</v>
      </c>
      <c r="F395">
        <v>436.65</v>
      </c>
      <c r="G395" s="2">
        <f t="shared" si="18"/>
        <v>436.65</v>
      </c>
      <c r="H395">
        <v>2</v>
      </c>
      <c r="I395" s="3">
        <v>0.2</v>
      </c>
      <c r="J395">
        <v>1</v>
      </c>
      <c r="K395">
        <f t="shared" si="19"/>
        <v>873.3</v>
      </c>
      <c r="L395">
        <f t="shared" si="20"/>
        <v>698.64</v>
      </c>
    </row>
    <row r="396" spans="1:12" x14ac:dyDescent="0.2">
      <c r="A396" t="s">
        <v>807</v>
      </c>
      <c r="B396" s="1">
        <v>45745</v>
      </c>
      <c r="C396" t="s">
        <v>856</v>
      </c>
      <c r="D396" t="s">
        <v>11</v>
      </c>
      <c r="E396" t="s">
        <v>22</v>
      </c>
      <c r="F396">
        <v>817.34</v>
      </c>
      <c r="G396" s="2">
        <f t="shared" si="18"/>
        <v>817.34</v>
      </c>
      <c r="H396">
        <v>5</v>
      </c>
      <c r="I396" s="3">
        <v>0</v>
      </c>
      <c r="J396">
        <v>4</v>
      </c>
      <c r="K396">
        <f t="shared" si="19"/>
        <v>4086.7000000000003</v>
      </c>
      <c r="L396">
        <f t="shared" si="20"/>
        <v>4086.7000000000003</v>
      </c>
    </row>
    <row r="397" spans="1:12" x14ac:dyDescent="0.2">
      <c r="A397" t="s">
        <v>449</v>
      </c>
      <c r="B397" s="1">
        <v>46016</v>
      </c>
      <c r="C397" t="s">
        <v>34</v>
      </c>
      <c r="D397" t="s">
        <v>11</v>
      </c>
      <c r="E397" t="s">
        <v>56</v>
      </c>
      <c r="F397">
        <v>1056.1500000000001</v>
      </c>
      <c r="G397" s="2">
        <f t="shared" si="18"/>
        <v>1056.1500000000001</v>
      </c>
      <c r="H397">
        <v>1</v>
      </c>
      <c r="I397" s="3">
        <v>0</v>
      </c>
      <c r="J397">
        <v>1</v>
      </c>
      <c r="K397">
        <f t="shared" si="19"/>
        <v>1056.1500000000001</v>
      </c>
      <c r="L397">
        <f t="shared" si="20"/>
        <v>1056.1500000000001</v>
      </c>
    </row>
    <row r="398" spans="1:12" x14ac:dyDescent="0.2">
      <c r="A398" t="s">
        <v>779</v>
      </c>
      <c r="B398" s="1">
        <v>45872</v>
      </c>
      <c r="C398" t="s">
        <v>14</v>
      </c>
      <c r="D398" t="s">
        <v>15</v>
      </c>
      <c r="E398" t="s">
        <v>18</v>
      </c>
      <c r="F398">
        <v>350.37</v>
      </c>
      <c r="G398" s="2">
        <f t="shared" si="18"/>
        <v>350.37</v>
      </c>
      <c r="H398">
        <v>1</v>
      </c>
      <c r="I398" s="3">
        <v>0.1</v>
      </c>
      <c r="J398">
        <v>4</v>
      </c>
      <c r="K398">
        <f t="shared" si="19"/>
        <v>350.37</v>
      </c>
      <c r="L398">
        <f t="shared" si="20"/>
        <v>315.33300000000003</v>
      </c>
    </row>
    <row r="399" spans="1:12" x14ac:dyDescent="0.2">
      <c r="A399" t="s">
        <v>370</v>
      </c>
      <c r="B399" s="1">
        <v>45971</v>
      </c>
      <c r="C399" t="s">
        <v>54</v>
      </c>
      <c r="D399" t="s">
        <v>15</v>
      </c>
      <c r="E399" t="s">
        <v>56</v>
      </c>
      <c r="F399">
        <v>353.29</v>
      </c>
      <c r="G399" s="2">
        <f t="shared" si="18"/>
        <v>353.29</v>
      </c>
      <c r="H399">
        <v>10</v>
      </c>
      <c r="I399" s="3">
        <v>0.2</v>
      </c>
      <c r="J399">
        <v>1</v>
      </c>
      <c r="K399">
        <f t="shared" si="19"/>
        <v>3532.9</v>
      </c>
      <c r="L399">
        <f t="shared" si="20"/>
        <v>2826.32</v>
      </c>
    </row>
    <row r="400" spans="1:12" x14ac:dyDescent="0.2">
      <c r="A400" t="s">
        <v>567</v>
      </c>
      <c r="B400" s="1">
        <v>45927</v>
      </c>
      <c r="C400" t="s">
        <v>856</v>
      </c>
      <c r="D400" t="s">
        <v>11</v>
      </c>
      <c r="E400" t="s">
        <v>22</v>
      </c>
      <c r="F400">
        <v>1349.48</v>
      </c>
      <c r="G400" s="2">
        <f t="shared" si="18"/>
        <v>1349.48</v>
      </c>
      <c r="H400">
        <v>5</v>
      </c>
      <c r="I400" s="3">
        <v>0</v>
      </c>
      <c r="J400">
        <v>3</v>
      </c>
      <c r="K400">
        <f t="shared" si="19"/>
        <v>6747.4</v>
      </c>
      <c r="L400">
        <f t="shared" si="20"/>
        <v>6747.4</v>
      </c>
    </row>
    <row r="401" spans="1:12" x14ac:dyDescent="0.2">
      <c r="A401" t="s">
        <v>617</v>
      </c>
      <c r="B401" s="1">
        <v>45833</v>
      </c>
      <c r="C401" t="s">
        <v>14</v>
      </c>
      <c r="D401" t="s">
        <v>15</v>
      </c>
      <c r="E401" t="s">
        <v>56</v>
      </c>
      <c r="F401">
        <v>275.27</v>
      </c>
      <c r="G401" s="2">
        <f t="shared" si="18"/>
        <v>275.27</v>
      </c>
      <c r="H401">
        <v>3</v>
      </c>
      <c r="I401" s="3">
        <v>0.2</v>
      </c>
      <c r="J401">
        <v>4</v>
      </c>
      <c r="K401">
        <f t="shared" si="19"/>
        <v>825.81</v>
      </c>
      <c r="L401">
        <f t="shared" si="20"/>
        <v>660.64800000000002</v>
      </c>
    </row>
    <row r="402" spans="1:12" x14ac:dyDescent="0.2">
      <c r="A402" t="s">
        <v>311</v>
      </c>
      <c r="B402" s="1">
        <v>45756</v>
      </c>
      <c r="C402" t="s">
        <v>856</v>
      </c>
      <c r="D402" t="s">
        <v>11</v>
      </c>
      <c r="E402" t="s">
        <v>22</v>
      </c>
      <c r="F402">
        <v>1165.83</v>
      </c>
      <c r="G402" s="2">
        <f t="shared" si="18"/>
        <v>1165.83</v>
      </c>
      <c r="H402">
        <v>2</v>
      </c>
      <c r="I402" s="3">
        <v>0</v>
      </c>
      <c r="J402" t="s">
        <v>857</v>
      </c>
      <c r="K402">
        <f t="shared" si="19"/>
        <v>2331.66</v>
      </c>
      <c r="L402">
        <f t="shared" si="20"/>
        <v>2331.66</v>
      </c>
    </row>
    <row r="403" spans="1:12" x14ac:dyDescent="0.2">
      <c r="A403" t="s">
        <v>347</v>
      </c>
      <c r="B403" s="1">
        <v>45810</v>
      </c>
      <c r="C403" t="s">
        <v>43</v>
      </c>
      <c r="D403" t="s">
        <v>15</v>
      </c>
      <c r="E403" t="s">
        <v>30</v>
      </c>
      <c r="F403">
        <v>358.42</v>
      </c>
      <c r="G403" s="2">
        <f t="shared" si="18"/>
        <v>358.42</v>
      </c>
      <c r="H403">
        <v>2</v>
      </c>
      <c r="I403" s="3">
        <v>0.2</v>
      </c>
      <c r="J403">
        <v>4</v>
      </c>
      <c r="K403">
        <f t="shared" si="19"/>
        <v>716.84</v>
      </c>
      <c r="L403">
        <f t="shared" si="20"/>
        <v>573.47200000000009</v>
      </c>
    </row>
    <row r="404" spans="1:12" x14ac:dyDescent="0.2">
      <c r="A404" t="s">
        <v>90</v>
      </c>
      <c r="B404" s="1">
        <v>45908</v>
      </c>
      <c r="C404" t="s">
        <v>29</v>
      </c>
      <c r="D404" t="s">
        <v>15</v>
      </c>
      <c r="E404" t="s">
        <v>30</v>
      </c>
      <c r="F404">
        <v>386.01</v>
      </c>
      <c r="G404" s="2">
        <f t="shared" si="18"/>
        <v>386.01</v>
      </c>
      <c r="H404">
        <v>3</v>
      </c>
      <c r="I404" s="3">
        <v>0.1</v>
      </c>
      <c r="J404">
        <v>5</v>
      </c>
      <c r="K404">
        <f t="shared" si="19"/>
        <v>1158.03</v>
      </c>
      <c r="L404">
        <f t="shared" si="20"/>
        <v>1042.2270000000001</v>
      </c>
    </row>
    <row r="405" spans="1:12" x14ac:dyDescent="0.2">
      <c r="A405" t="s">
        <v>620</v>
      </c>
      <c r="B405" s="1">
        <v>45798</v>
      </c>
      <c r="C405" t="s">
        <v>17</v>
      </c>
      <c r="D405" t="s">
        <v>11</v>
      </c>
      <c r="E405" t="s">
        <v>18</v>
      </c>
      <c r="F405">
        <v>1370.79</v>
      </c>
      <c r="G405" s="2">
        <f t="shared" si="18"/>
        <v>1370.79</v>
      </c>
      <c r="H405">
        <v>2</v>
      </c>
      <c r="I405" s="3">
        <v>0</v>
      </c>
      <c r="J405" t="s">
        <v>857</v>
      </c>
      <c r="K405">
        <f t="shared" si="19"/>
        <v>2741.58</v>
      </c>
      <c r="L405">
        <f t="shared" si="20"/>
        <v>2741.58</v>
      </c>
    </row>
    <row r="406" spans="1:12" x14ac:dyDescent="0.2">
      <c r="A406" t="s">
        <v>194</v>
      </c>
      <c r="B406" s="1">
        <v>45834</v>
      </c>
      <c r="C406" t="s">
        <v>54</v>
      </c>
      <c r="D406" t="s">
        <v>15</v>
      </c>
      <c r="E406" t="s">
        <v>22</v>
      </c>
      <c r="F406">
        <v>271.27999999999997</v>
      </c>
      <c r="G406" s="2">
        <f t="shared" si="18"/>
        <v>271.27999999999997</v>
      </c>
      <c r="H406">
        <v>1</v>
      </c>
      <c r="I406" s="3">
        <v>0</v>
      </c>
      <c r="J406">
        <v>1</v>
      </c>
      <c r="K406">
        <f t="shared" si="19"/>
        <v>271.27999999999997</v>
      </c>
      <c r="L406">
        <f t="shared" si="20"/>
        <v>271.27999999999997</v>
      </c>
    </row>
    <row r="407" spans="1:12" x14ac:dyDescent="0.2">
      <c r="A407" t="s">
        <v>104</v>
      </c>
      <c r="B407" s="1">
        <v>45698</v>
      </c>
      <c r="C407" t="s">
        <v>43</v>
      </c>
      <c r="D407" t="s">
        <v>15</v>
      </c>
      <c r="E407" t="s">
        <v>30</v>
      </c>
      <c r="F407">
        <v>242.61</v>
      </c>
      <c r="G407" s="2">
        <f t="shared" si="18"/>
        <v>242.61</v>
      </c>
      <c r="H407">
        <v>3</v>
      </c>
      <c r="I407" s="3">
        <v>0.1</v>
      </c>
      <c r="J407">
        <v>4</v>
      </c>
      <c r="K407">
        <f t="shared" si="19"/>
        <v>727.83</v>
      </c>
      <c r="L407">
        <f t="shared" si="20"/>
        <v>655.04700000000003</v>
      </c>
    </row>
    <row r="408" spans="1:12" x14ac:dyDescent="0.2">
      <c r="A408" t="s">
        <v>754</v>
      </c>
      <c r="B408" s="1">
        <v>45767</v>
      </c>
      <c r="C408" t="s">
        <v>29</v>
      </c>
      <c r="D408" t="s">
        <v>15</v>
      </c>
      <c r="E408" t="s">
        <v>22</v>
      </c>
      <c r="F408">
        <v>439.44</v>
      </c>
      <c r="G408" s="2">
        <f t="shared" si="18"/>
        <v>439.44</v>
      </c>
      <c r="H408">
        <v>2</v>
      </c>
      <c r="I408" s="3">
        <v>0.15</v>
      </c>
      <c r="J408">
        <v>4</v>
      </c>
      <c r="K408">
        <f t="shared" si="19"/>
        <v>878.88</v>
      </c>
      <c r="L408">
        <f t="shared" si="20"/>
        <v>747.048</v>
      </c>
    </row>
    <row r="409" spans="1:12" x14ac:dyDescent="0.2">
      <c r="A409" t="s">
        <v>188</v>
      </c>
      <c r="B409" s="1">
        <v>46014</v>
      </c>
      <c r="C409" t="s">
        <v>26</v>
      </c>
      <c r="D409" t="s">
        <v>27</v>
      </c>
      <c r="E409" t="s">
        <v>56</v>
      </c>
      <c r="F409">
        <v>639.88</v>
      </c>
      <c r="G409" s="2">
        <f t="shared" si="18"/>
        <v>639.88</v>
      </c>
      <c r="H409">
        <v>2</v>
      </c>
      <c r="I409" s="3">
        <v>0</v>
      </c>
      <c r="J409">
        <v>2</v>
      </c>
      <c r="K409">
        <f t="shared" si="19"/>
        <v>1279.76</v>
      </c>
      <c r="L409">
        <f t="shared" si="20"/>
        <v>1279.76</v>
      </c>
    </row>
    <row r="410" spans="1:12" x14ac:dyDescent="0.2">
      <c r="A410" t="s">
        <v>782</v>
      </c>
      <c r="B410" s="1">
        <v>45958</v>
      </c>
      <c r="C410" t="s">
        <v>856</v>
      </c>
      <c r="D410" t="s">
        <v>11</v>
      </c>
      <c r="E410" t="s">
        <v>30</v>
      </c>
      <c r="F410">
        <v>1020.36</v>
      </c>
      <c r="G410" s="2">
        <f t="shared" si="18"/>
        <v>1020.36</v>
      </c>
      <c r="H410">
        <v>2</v>
      </c>
      <c r="I410" s="3">
        <v>0</v>
      </c>
      <c r="J410">
        <v>1</v>
      </c>
      <c r="K410">
        <f t="shared" si="19"/>
        <v>2040.72</v>
      </c>
      <c r="L410">
        <f t="shared" si="20"/>
        <v>2040.72</v>
      </c>
    </row>
    <row r="411" spans="1:12" x14ac:dyDescent="0.2">
      <c r="A411" t="s">
        <v>631</v>
      </c>
      <c r="B411" s="1">
        <v>45773</v>
      </c>
      <c r="C411" t="s">
        <v>856</v>
      </c>
      <c r="D411" t="s">
        <v>11</v>
      </c>
      <c r="E411" t="s">
        <v>56</v>
      </c>
      <c r="F411">
        <v>1572.28</v>
      </c>
      <c r="G411" s="2">
        <f t="shared" si="18"/>
        <v>1572.28</v>
      </c>
      <c r="H411">
        <v>2</v>
      </c>
      <c r="I411" s="3">
        <v>0</v>
      </c>
      <c r="J411">
        <v>2</v>
      </c>
      <c r="K411">
        <f t="shared" si="19"/>
        <v>3144.56</v>
      </c>
      <c r="L411">
        <f t="shared" si="20"/>
        <v>3144.56</v>
      </c>
    </row>
    <row r="412" spans="1:12" x14ac:dyDescent="0.2">
      <c r="A412" t="s">
        <v>459</v>
      </c>
      <c r="B412" s="1">
        <v>45899</v>
      </c>
      <c r="C412" t="s">
        <v>54</v>
      </c>
      <c r="D412" t="s">
        <v>15</v>
      </c>
      <c r="E412" t="s">
        <v>18</v>
      </c>
      <c r="F412">
        <v>358.1</v>
      </c>
      <c r="G412" s="2">
        <f t="shared" si="18"/>
        <v>358.1</v>
      </c>
      <c r="H412">
        <v>1</v>
      </c>
      <c r="I412" s="3">
        <v>0.2</v>
      </c>
      <c r="J412">
        <v>3</v>
      </c>
      <c r="K412">
        <f t="shared" si="19"/>
        <v>358.1</v>
      </c>
      <c r="L412">
        <f t="shared" si="20"/>
        <v>286.48</v>
      </c>
    </row>
    <row r="413" spans="1:12" x14ac:dyDescent="0.2">
      <c r="A413" t="s">
        <v>403</v>
      </c>
      <c r="B413" s="1">
        <v>45738</v>
      </c>
      <c r="C413" t="s">
        <v>34</v>
      </c>
      <c r="D413" t="s">
        <v>11</v>
      </c>
      <c r="E413" t="s">
        <v>56</v>
      </c>
      <c r="F413">
        <v>1483.03</v>
      </c>
      <c r="G413" s="2">
        <f t="shared" si="18"/>
        <v>1483.03</v>
      </c>
      <c r="H413">
        <v>5</v>
      </c>
      <c r="I413" s="3">
        <v>0.2</v>
      </c>
      <c r="J413">
        <v>5</v>
      </c>
      <c r="K413">
        <f t="shared" si="19"/>
        <v>7415.15</v>
      </c>
      <c r="L413">
        <f t="shared" si="20"/>
        <v>5932.12</v>
      </c>
    </row>
    <row r="414" spans="1:12" x14ac:dyDescent="0.2">
      <c r="A414" t="s">
        <v>161</v>
      </c>
      <c r="B414" s="1">
        <v>45760</v>
      </c>
      <c r="C414" t="s">
        <v>14</v>
      </c>
      <c r="D414" t="s">
        <v>15</v>
      </c>
      <c r="E414" t="s">
        <v>30</v>
      </c>
      <c r="F414">
        <v>354.73</v>
      </c>
      <c r="G414" s="2">
        <f t="shared" si="18"/>
        <v>354.73</v>
      </c>
      <c r="H414">
        <v>2</v>
      </c>
      <c r="I414" s="3">
        <v>0</v>
      </c>
      <c r="J414">
        <v>4</v>
      </c>
      <c r="K414">
        <f t="shared" si="19"/>
        <v>709.46</v>
      </c>
      <c r="L414">
        <f t="shared" si="20"/>
        <v>709.46</v>
      </c>
    </row>
    <row r="415" spans="1:12" x14ac:dyDescent="0.2">
      <c r="A415" t="s">
        <v>190</v>
      </c>
      <c r="B415" s="1">
        <v>45703</v>
      </c>
      <c r="C415" t="s">
        <v>856</v>
      </c>
      <c r="D415" t="s">
        <v>11</v>
      </c>
      <c r="E415" t="s">
        <v>56</v>
      </c>
      <c r="F415">
        <v>1694.58</v>
      </c>
      <c r="G415" s="2">
        <f t="shared" si="18"/>
        <v>1694.58</v>
      </c>
      <c r="H415">
        <v>2</v>
      </c>
      <c r="I415" s="3">
        <v>0.15</v>
      </c>
      <c r="J415">
        <v>1</v>
      </c>
      <c r="K415">
        <f t="shared" si="19"/>
        <v>3389.16</v>
      </c>
      <c r="L415">
        <f t="shared" si="20"/>
        <v>2880.7859999999996</v>
      </c>
    </row>
    <row r="416" spans="1:12" x14ac:dyDescent="0.2">
      <c r="A416" t="s">
        <v>718</v>
      </c>
      <c r="B416" s="1">
        <v>45871</v>
      </c>
      <c r="C416" t="s">
        <v>26</v>
      </c>
      <c r="D416" t="s">
        <v>27</v>
      </c>
      <c r="E416" t="s">
        <v>30</v>
      </c>
      <c r="F416">
        <v>810.64</v>
      </c>
      <c r="G416" s="2">
        <f t="shared" si="18"/>
        <v>810.64</v>
      </c>
      <c r="H416">
        <v>1</v>
      </c>
      <c r="I416" s="3">
        <v>0</v>
      </c>
      <c r="J416">
        <v>5</v>
      </c>
      <c r="K416">
        <f t="shared" si="19"/>
        <v>810.64</v>
      </c>
      <c r="L416">
        <f t="shared" si="20"/>
        <v>810.64</v>
      </c>
    </row>
    <row r="417" spans="1:12" x14ac:dyDescent="0.2">
      <c r="A417" t="s">
        <v>175</v>
      </c>
      <c r="B417" s="1">
        <v>45753</v>
      </c>
      <c r="C417" t="s">
        <v>10</v>
      </c>
      <c r="D417" t="s">
        <v>11</v>
      </c>
      <c r="E417" t="s">
        <v>22</v>
      </c>
      <c r="F417">
        <v>1140.25</v>
      </c>
      <c r="G417" s="2">
        <f t="shared" si="18"/>
        <v>1140.25</v>
      </c>
      <c r="H417">
        <v>2</v>
      </c>
      <c r="I417" s="3">
        <v>0</v>
      </c>
      <c r="J417">
        <v>1</v>
      </c>
      <c r="K417">
        <f t="shared" si="19"/>
        <v>2280.5</v>
      </c>
      <c r="L417">
        <f t="shared" si="20"/>
        <v>2280.5</v>
      </c>
    </row>
    <row r="418" spans="1:12" x14ac:dyDescent="0.2">
      <c r="A418" t="s">
        <v>388</v>
      </c>
      <c r="B418" s="1">
        <v>45966</v>
      </c>
      <c r="C418" t="s">
        <v>43</v>
      </c>
      <c r="D418" t="s">
        <v>15</v>
      </c>
      <c r="E418" t="s">
        <v>56</v>
      </c>
      <c r="F418">
        <v>418.01</v>
      </c>
      <c r="G418" s="2">
        <f t="shared" si="18"/>
        <v>418.01</v>
      </c>
      <c r="H418">
        <v>1</v>
      </c>
      <c r="I418" s="3">
        <v>0</v>
      </c>
      <c r="J418">
        <v>4</v>
      </c>
      <c r="K418">
        <f t="shared" si="19"/>
        <v>418.01</v>
      </c>
      <c r="L418">
        <f t="shared" si="20"/>
        <v>418.01</v>
      </c>
    </row>
    <row r="419" spans="1:12" x14ac:dyDescent="0.2">
      <c r="A419" t="s">
        <v>512</v>
      </c>
      <c r="B419" s="1">
        <v>45936</v>
      </c>
      <c r="C419" t="s">
        <v>14</v>
      </c>
      <c r="D419" t="s">
        <v>15</v>
      </c>
      <c r="E419" t="s">
        <v>30</v>
      </c>
      <c r="F419">
        <v>395.18</v>
      </c>
      <c r="G419" s="2">
        <f t="shared" si="18"/>
        <v>395.18</v>
      </c>
      <c r="H419">
        <v>10</v>
      </c>
      <c r="I419" s="3">
        <v>0</v>
      </c>
      <c r="J419" t="s">
        <v>857</v>
      </c>
      <c r="K419">
        <f t="shared" si="19"/>
        <v>3951.8</v>
      </c>
      <c r="L419">
        <f t="shared" si="20"/>
        <v>3951.8</v>
      </c>
    </row>
    <row r="420" spans="1:12" x14ac:dyDescent="0.2">
      <c r="A420" t="s">
        <v>522</v>
      </c>
      <c r="B420" s="1">
        <v>45756</v>
      </c>
      <c r="C420" t="s">
        <v>14</v>
      </c>
      <c r="D420" t="s">
        <v>15</v>
      </c>
      <c r="E420" t="s">
        <v>18</v>
      </c>
      <c r="F420">
        <v>445.8</v>
      </c>
      <c r="G420" s="2">
        <f t="shared" si="18"/>
        <v>445.8</v>
      </c>
      <c r="H420">
        <v>1</v>
      </c>
      <c r="I420" s="3">
        <v>0</v>
      </c>
      <c r="J420">
        <v>3</v>
      </c>
      <c r="K420">
        <f t="shared" si="19"/>
        <v>445.8</v>
      </c>
      <c r="L420">
        <f t="shared" si="20"/>
        <v>445.8</v>
      </c>
    </row>
    <row r="421" spans="1:12" x14ac:dyDescent="0.2">
      <c r="A421" t="s">
        <v>271</v>
      </c>
      <c r="B421" s="1">
        <v>45989</v>
      </c>
      <c r="C421" t="s">
        <v>29</v>
      </c>
      <c r="D421" t="s">
        <v>15</v>
      </c>
      <c r="E421" t="s">
        <v>22</v>
      </c>
      <c r="F421">
        <v>282.45999999999998</v>
      </c>
      <c r="G421" s="2">
        <f t="shared" si="18"/>
        <v>282.45999999999998</v>
      </c>
      <c r="H421">
        <v>2</v>
      </c>
      <c r="I421" s="3">
        <v>0.2</v>
      </c>
      <c r="J421">
        <v>3</v>
      </c>
      <c r="K421">
        <f t="shared" si="19"/>
        <v>564.91999999999996</v>
      </c>
      <c r="L421">
        <f t="shared" si="20"/>
        <v>451.93599999999998</v>
      </c>
    </row>
    <row r="422" spans="1:12" x14ac:dyDescent="0.2">
      <c r="A422" t="s">
        <v>652</v>
      </c>
      <c r="B422" s="1">
        <v>45830</v>
      </c>
      <c r="C422" t="s">
        <v>34</v>
      </c>
      <c r="D422" t="s">
        <v>11</v>
      </c>
      <c r="E422" t="s">
        <v>30</v>
      </c>
      <c r="F422">
        <v>1364.65</v>
      </c>
      <c r="G422" s="2">
        <f t="shared" si="18"/>
        <v>1364.65</v>
      </c>
      <c r="H422">
        <v>2</v>
      </c>
      <c r="I422" s="3">
        <v>0.15</v>
      </c>
      <c r="J422">
        <v>4</v>
      </c>
      <c r="K422">
        <f t="shared" si="19"/>
        <v>2729.3</v>
      </c>
      <c r="L422">
        <f t="shared" si="20"/>
        <v>2319.9050000000002</v>
      </c>
    </row>
    <row r="423" spans="1:12" x14ac:dyDescent="0.2">
      <c r="A423" t="s">
        <v>663</v>
      </c>
      <c r="B423" s="1">
        <v>45985</v>
      </c>
      <c r="C423" t="s">
        <v>32</v>
      </c>
      <c r="D423" t="s">
        <v>21</v>
      </c>
      <c r="E423" t="s">
        <v>56</v>
      </c>
      <c r="F423">
        <v>2181.0300000000002</v>
      </c>
      <c r="G423" s="2">
        <f t="shared" si="18"/>
        <v>2181.0300000000002</v>
      </c>
      <c r="H423">
        <v>5</v>
      </c>
      <c r="I423" s="3">
        <v>0.1</v>
      </c>
      <c r="J423" t="s">
        <v>857</v>
      </c>
      <c r="K423">
        <f t="shared" si="19"/>
        <v>10905.150000000001</v>
      </c>
      <c r="L423">
        <f t="shared" si="20"/>
        <v>9814.635000000002</v>
      </c>
    </row>
    <row r="424" spans="1:12" x14ac:dyDescent="0.2">
      <c r="A424" t="s">
        <v>518</v>
      </c>
      <c r="B424" s="1">
        <v>45863</v>
      </c>
      <c r="C424" t="s">
        <v>43</v>
      </c>
      <c r="D424" t="s">
        <v>15</v>
      </c>
      <c r="E424" t="s">
        <v>56</v>
      </c>
      <c r="F424">
        <v>226.89</v>
      </c>
      <c r="G424" s="2">
        <f t="shared" si="18"/>
        <v>226.89</v>
      </c>
      <c r="H424">
        <v>1</v>
      </c>
      <c r="I424" s="3">
        <v>0</v>
      </c>
      <c r="J424">
        <v>3</v>
      </c>
      <c r="K424">
        <f t="shared" si="19"/>
        <v>226.89</v>
      </c>
      <c r="L424">
        <f t="shared" si="20"/>
        <v>226.89</v>
      </c>
    </row>
    <row r="425" spans="1:12" x14ac:dyDescent="0.2">
      <c r="A425" t="s">
        <v>367</v>
      </c>
      <c r="B425" s="1">
        <v>45785</v>
      </c>
      <c r="C425" t="s">
        <v>14</v>
      </c>
      <c r="D425" t="s">
        <v>15</v>
      </c>
      <c r="E425" t="s">
        <v>18</v>
      </c>
      <c r="F425">
        <v>267.17</v>
      </c>
      <c r="G425" s="2">
        <f t="shared" si="18"/>
        <v>267.17</v>
      </c>
      <c r="H425">
        <v>1</v>
      </c>
      <c r="I425" s="3">
        <v>0</v>
      </c>
      <c r="J425">
        <v>5</v>
      </c>
      <c r="K425">
        <f t="shared" si="19"/>
        <v>267.17</v>
      </c>
      <c r="L425">
        <f t="shared" si="20"/>
        <v>267.17</v>
      </c>
    </row>
    <row r="426" spans="1:12" x14ac:dyDescent="0.2">
      <c r="A426" t="s">
        <v>371</v>
      </c>
      <c r="B426" s="1">
        <v>45794</v>
      </c>
      <c r="C426" t="s">
        <v>32</v>
      </c>
      <c r="D426" t="s">
        <v>21</v>
      </c>
      <c r="E426" t="s">
        <v>22</v>
      </c>
      <c r="F426">
        <v>1065.8800000000001</v>
      </c>
      <c r="G426" s="2">
        <f t="shared" si="18"/>
        <v>1065.8800000000001</v>
      </c>
      <c r="H426">
        <v>3</v>
      </c>
      <c r="I426" s="3">
        <v>0</v>
      </c>
      <c r="J426">
        <v>1</v>
      </c>
      <c r="K426">
        <f t="shared" si="19"/>
        <v>3197.6400000000003</v>
      </c>
      <c r="L426">
        <f t="shared" si="20"/>
        <v>3197.6400000000003</v>
      </c>
    </row>
    <row r="427" spans="1:12" x14ac:dyDescent="0.2">
      <c r="A427" t="s">
        <v>836</v>
      </c>
      <c r="B427" s="1">
        <v>45842</v>
      </c>
      <c r="C427" t="s">
        <v>43</v>
      </c>
      <c r="D427" t="s">
        <v>15</v>
      </c>
      <c r="E427" t="s">
        <v>30</v>
      </c>
      <c r="F427">
        <v>331.14</v>
      </c>
      <c r="G427" s="2">
        <f t="shared" si="18"/>
        <v>331.14</v>
      </c>
      <c r="H427">
        <v>2</v>
      </c>
      <c r="I427" s="3">
        <v>0</v>
      </c>
      <c r="J427">
        <v>2</v>
      </c>
      <c r="K427">
        <f t="shared" si="19"/>
        <v>662.28</v>
      </c>
      <c r="L427">
        <f t="shared" si="20"/>
        <v>662.28</v>
      </c>
    </row>
    <row r="428" spans="1:12" x14ac:dyDescent="0.2">
      <c r="A428" t="s">
        <v>608</v>
      </c>
      <c r="B428" s="1">
        <v>45739</v>
      </c>
      <c r="C428" t="s">
        <v>14</v>
      </c>
      <c r="D428" t="s">
        <v>15</v>
      </c>
      <c r="E428" t="s">
        <v>18</v>
      </c>
      <c r="F428">
        <v>400.23</v>
      </c>
      <c r="G428" s="2">
        <f t="shared" si="18"/>
        <v>400.23</v>
      </c>
      <c r="H428">
        <v>5</v>
      </c>
      <c r="I428" s="3">
        <v>0.2</v>
      </c>
      <c r="J428" t="s">
        <v>857</v>
      </c>
      <c r="K428">
        <f t="shared" si="19"/>
        <v>2001.15</v>
      </c>
      <c r="L428">
        <f t="shared" si="20"/>
        <v>1600.92</v>
      </c>
    </row>
    <row r="429" spans="1:12" x14ac:dyDescent="0.2">
      <c r="A429" t="s">
        <v>757</v>
      </c>
      <c r="B429" s="1">
        <v>45817</v>
      </c>
      <c r="C429" t="s">
        <v>26</v>
      </c>
      <c r="D429" t="s">
        <v>27</v>
      </c>
      <c r="E429" t="s">
        <v>30</v>
      </c>
      <c r="F429">
        <v>780.28</v>
      </c>
      <c r="G429" s="2">
        <f t="shared" si="18"/>
        <v>780.28</v>
      </c>
      <c r="H429">
        <v>1</v>
      </c>
      <c r="I429" s="3">
        <v>0.2</v>
      </c>
      <c r="J429">
        <v>4</v>
      </c>
      <c r="K429">
        <f t="shared" si="19"/>
        <v>780.28</v>
      </c>
      <c r="L429">
        <f t="shared" si="20"/>
        <v>624.22400000000005</v>
      </c>
    </row>
    <row r="430" spans="1:12" x14ac:dyDescent="0.2">
      <c r="A430" t="s">
        <v>297</v>
      </c>
      <c r="B430" s="1">
        <v>45771</v>
      </c>
      <c r="C430" t="s">
        <v>43</v>
      </c>
      <c r="D430" t="s">
        <v>15</v>
      </c>
      <c r="E430" t="s">
        <v>56</v>
      </c>
      <c r="F430">
        <v>355.19</v>
      </c>
      <c r="G430" s="2">
        <f t="shared" si="18"/>
        <v>355.19</v>
      </c>
      <c r="H430">
        <v>2</v>
      </c>
      <c r="I430" s="3">
        <v>0</v>
      </c>
      <c r="J430">
        <v>5</v>
      </c>
      <c r="K430">
        <f t="shared" si="19"/>
        <v>710.38</v>
      </c>
      <c r="L430">
        <f t="shared" si="20"/>
        <v>710.38</v>
      </c>
    </row>
    <row r="431" spans="1:12" x14ac:dyDescent="0.2">
      <c r="A431" t="s">
        <v>669</v>
      </c>
      <c r="B431" s="1">
        <v>45968</v>
      </c>
      <c r="C431" t="s">
        <v>32</v>
      </c>
      <c r="D431" t="s">
        <v>21</v>
      </c>
      <c r="E431" t="s">
        <v>22</v>
      </c>
      <c r="F431">
        <v>2386.3000000000002</v>
      </c>
      <c r="G431" s="2">
        <f t="shared" si="18"/>
        <v>2386.3000000000002</v>
      </c>
      <c r="H431">
        <v>3</v>
      </c>
      <c r="I431" s="3">
        <v>0.1</v>
      </c>
      <c r="J431" t="s">
        <v>857</v>
      </c>
      <c r="K431">
        <f t="shared" si="19"/>
        <v>7158.9000000000005</v>
      </c>
      <c r="L431">
        <f t="shared" si="20"/>
        <v>6443.01</v>
      </c>
    </row>
    <row r="432" spans="1:12" x14ac:dyDescent="0.2">
      <c r="A432" t="s">
        <v>102</v>
      </c>
      <c r="B432" s="1">
        <v>45933</v>
      </c>
      <c r="C432" t="s">
        <v>26</v>
      </c>
      <c r="D432" t="s">
        <v>27</v>
      </c>
      <c r="E432" t="s">
        <v>22</v>
      </c>
      <c r="F432">
        <v>434.39</v>
      </c>
      <c r="G432" s="2">
        <f t="shared" si="18"/>
        <v>434.39</v>
      </c>
      <c r="H432">
        <v>2</v>
      </c>
      <c r="I432" s="3">
        <v>0</v>
      </c>
      <c r="J432">
        <v>2</v>
      </c>
      <c r="K432">
        <f t="shared" si="19"/>
        <v>868.78</v>
      </c>
      <c r="L432">
        <f t="shared" si="20"/>
        <v>868.78</v>
      </c>
    </row>
    <row r="433" spans="1:12" x14ac:dyDescent="0.2">
      <c r="A433" t="s">
        <v>723</v>
      </c>
      <c r="B433" s="1">
        <v>45928</v>
      </c>
      <c r="C433" t="s">
        <v>17</v>
      </c>
      <c r="D433" t="s">
        <v>11</v>
      </c>
      <c r="E433" t="s">
        <v>22</v>
      </c>
      <c r="F433">
        <v>791.19</v>
      </c>
      <c r="G433" s="2">
        <f t="shared" si="18"/>
        <v>791.19</v>
      </c>
      <c r="H433">
        <v>3</v>
      </c>
      <c r="I433" s="3">
        <v>0</v>
      </c>
      <c r="J433">
        <v>2</v>
      </c>
      <c r="K433">
        <f t="shared" si="19"/>
        <v>2373.5700000000002</v>
      </c>
      <c r="L433">
        <f t="shared" si="20"/>
        <v>2373.5700000000002</v>
      </c>
    </row>
    <row r="434" spans="1:12" x14ac:dyDescent="0.2">
      <c r="A434" t="s">
        <v>590</v>
      </c>
      <c r="B434" s="1">
        <v>45938</v>
      </c>
      <c r="C434" t="s">
        <v>34</v>
      </c>
      <c r="D434" t="s">
        <v>11</v>
      </c>
      <c r="E434" t="s">
        <v>18</v>
      </c>
      <c r="F434">
        <v>1186.67</v>
      </c>
      <c r="G434" s="2">
        <f t="shared" si="18"/>
        <v>1186.67</v>
      </c>
      <c r="H434">
        <v>2</v>
      </c>
      <c r="I434" s="3">
        <v>0.15</v>
      </c>
      <c r="J434" t="s">
        <v>857</v>
      </c>
      <c r="K434">
        <f t="shared" si="19"/>
        <v>2373.34</v>
      </c>
      <c r="L434">
        <f t="shared" si="20"/>
        <v>2017.3390000000002</v>
      </c>
    </row>
    <row r="435" spans="1:12" x14ac:dyDescent="0.2">
      <c r="A435" t="s">
        <v>654</v>
      </c>
      <c r="B435" s="1">
        <v>45825</v>
      </c>
      <c r="C435" t="s">
        <v>32</v>
      </c>
      <c r="D435" t="s">
        <v>21</v>
      </c>
      <c r="E435" t="s">
        <v>30</v>
      </c>
      <c r="F435">
        <v>1938.26</v>
      </c>
      <c r="G435" s="2">
        <f t="shared" si="18"/>
        <v>1938.26</v>
      </c>
      <c r="H435">
        <v>10</v>
      </c>
      <c r="I435" s="3">
        <v>0</v>
      </c>
      <c r="J435">
        <v>4</v>
      </c>
      <c r="K435">
        <f t="shared" si="19"/>
        <v>19382.599999999999</v>
      </c>
      <c r="L435">
        <f t="shared" si="20"/>
        <v>19382.599999999999</v>
      </c>
    </row>
    <row r="436" spans="1:12" x14ac:dyDescent="0.2">
      <c r="A436" t="s">
        <v>46</v>
      </c>
      <c r="B436" s="1">
        <v>45908</v>
      </c>
      <c r="C436" t="s">
        <v>29</v>
      </c>
      <c r="D436" t="s">
        <v>15</v>
      </c>
      <c r="E436" t="s">
        <v>56</v>
      </c>
      <c r="F436">
        <v>347.71</v>
      </c>
      <c r="G436" s="2">
        <f t="shared" si="18"/>
        <v>347.71</v>
      </c>
      <c r="H436">
        <v>1</v>
      </c>
      <c r="I436" s="3">
        <v>0.15</v>
      </c>
      <c r="J436">
        <v>5</v>
      </c>
      <c r="K436">
        <f t="shared" si="19"/>
        <v>347.71</v>
      </c>
      <c r="L436">
        <f t="shared" si="20"/>
        <v>295.55349999999999</v>
      </c>
    </row>
    <row r="437" spans="1:12" x14ac:dyDescent="0.2">
      <c r="A437" t="s">
        <v>100</v>
      </c>
      <c r="B437" s="1">
        <v>45890</v>
      </c>
      <c r="C437" t="s">
        <v>10</v>
      </c>
      <c r="D437" t="s">
        <v>11</v>
      </c>
      <c r="E437" t="s">
        <v>56</v>
      </c>
      <c r="F437">
        <v>703.81</v>
      </c>
      <c r="G437" s="2">
        <f t="shared" si="18"/>
        <v>703.81</v>
      </c>
      <c r="H437">
        <v>1</v>
      </c>
      <c r="I437" s="3">
        <v>0.15</v>
      </c>
      <c r="J437">
        <v>5</v>
      </c>
      <c r="K437">
        <f t="shared" si="19"/>
        <v>703.81</v>
      </c>
      <c r="L437">
        <f t="shared" si="20"/>
        <v>598.23849999999993</v>
      </c>
    </row>
    <row r="438" spans="1:12" x14ac:dyDescent="0.2">
      <c r="A438" t="s">
        <v>733</v>
      </c>
      <c r="B438" s="1">
        <v>45687</v>
      </c>
      <c r="C438" t="s">
        <v>14</v>
      </c>
      <c r="D438" t="s">
        <v>15</v>
      </c>
      <c r="E438" t="s">
        <v>56</v>
      </c>
      <c r="F438">
        <v>343.76</v>
      </c>
      <c r="G438" s="2">
        <f t="shared" si="18"/>
        <v>343.76</v>
      </c>
      <c r="H438">
        <v>10</v>
      </c>
      <c r="I438" s="3">
        <v>0.2</v>
      </c>
      <c r="J438">
        <v>4</v>
      </c>
      <c r="K438">
        <f t="shared" si="19"/>
        <v>3437.6</v>
      </c>
      <c r="L438">
        <f t="shared" si="20"/>
        <v>2750.08</v>
      </c>
    </row>
    <row r="439" spans="1:12" x14ac:dyDescent="0.2">
      <c r="A439" t="s">
        <v>828</v>
      </c>
      <c r="B439" s="1">
        <v>45860</v>
      </c>
      <c r="C439" t="s">
        <v>29</v>
      </c>
      <c r="D439" t="s">
        <v>15</v>
      </c>
      <c r="E439" t="s">
        <v>56</v>
      </c>
      <c r="F439">
        <v>258.69</v>
      </c>
      <c r="G439" s="2">
        <f t="shared" si="18"/>
        <v>258.69</v>
      </c>
      <c r="H439">
        <v>2</v>
      </c>
      <c r="I439" s="3">
        <v>0</v>
      </c>
      <c r="J439">
        <v>4</v>
      </c>
      <c r="K439">
        <f t="shared" si="19"/>
        <v>517.38</v>
      </c>
      <c r="L439">
        <f t="shared" si="20"/>
        <v>517.38</v>
      </c>
    </row>
    <row r="440" spans="1:12" x14ac:dyDescent="0.2">
      <c r="A440" t="s">
        <v>195</v>
      </c>
      <c r="B440" s="1">
        <v>45693</v>
      </c>
      <c r="C440" t="s">
        <v>17</v>
      </c>
      <c r="D440" t="s">
        <v>11</v>
      </c>
      <c r="E440" t="s">
        <v>56</v>
      </c>
      <c r="F440">
        <v>1287.98</v>
      </c>
      <c r="G440" s="2">
        <f t="shared" si="18"/>
        <v>1287.98</v>
      </c>
      <c r="H440">
        <v>10</v>
      </c>
      <c r="I440" s="3">
        <v>0</v>
      </c>
      <c r="J440">
        <v>4</v>
      </c>
      <c r="K440">
        <f t="shared" si="19"/>
        <v>12879.8</v>
      </c>
      <c r="L440">
        <f t="shared" si="20"/>
        <v>12879.8</v>
      </c>
    </row>
    <row r="441" spans="1:12" x14ac:dyDescent="0.2">
      <c r="A441" t="s">
        <v>223</v>
      </c>
      <c r="B441" s="1">
        <v>45727</v>
      </c>
      <c r="C441" t="s">
        <v>54</v>
      </c>
      <c r="D441" t="s">
        <v>15</v>
      </c>
      <c r="E441" t="s">
        <v>30</v>
      </c>
      <c r="F441">
        <v>284.20999999999998</v>
      </c>
      <c r="G441" s="2">
        <f t="shared" si="18"/>
        <v>284.20999999999998</v>
      </c>
      <c r="H441">
        <v>5</v>
      </c>
      <c r="I441" s="3">
        <v>0</v>
      </c>
      <c r="J441">
        <v>5</v>
      </c>
      <c r="K441">
        <f t="shared" si="19"/>
        <v>1421.05</v>
      </c>
      <c r="L441">
        <f t="shared" si="20"/>
        <v>1421.05</v>
      </c>
    </row>
    <row r="442" spans="1:12" x14ac:dyDescent="0.2">
      <c r="A442" t="s">
        <v>800</v>
      </c>
      <c r="B442" s="1">
        <v>45851</v>
      </c>
      <c r="C442" t="s">
        <v>14</v>
      </c>
      <c r="D442" t="s">
        <v>15</v>
      </c>
      <c r="E442" t="s">
        <v>18</v>
      </c>
      <c r="F442">
        <v>314.02999999999997</v>
      </c>
      <c r="G442" s="2">
        <f t="shared" si="18"/>
        <v>314.02999999999997</v>
      </c>
      <c r="H442">
        <v>5</v>
      </c>
      <c r="I442" s="3">
        <v>0</v>
      </c>
      <c r="J442" t="s">
        <v>857</v>
      </c>
      <c r="K442">
        <f t="shared" si="19"/>
        <v>1570.1499999999999</v>
      </c>
      <c r="L442">
        <f t="shared" si="20"/>
        <v>1570.1499999999999</v>
      </c>
    </row>
    <row r="443" spans="1:12" x14ac:dyDescent="0.2">
      <c r="A443" t="s">
        <v>84</v>
      </c>
      <c r="B443" s="1">
        <v>45836</v>
      </c>
      <c r="C443" t="s">
        <v>32</v>
      </c>
      <c r="D443" t="s">
        <v>21</v>
      </c>
      <c r="E443" t="s">
        <v>30</v>
      </c>
      <c r="F443">
        <v>1418.68</v>
      </c>
      <c r="G443" s="2">
        <f t="shared" si="18"/>
        <v>1418.68</v>
      </c>
      <c r="H443">
        <v>1</v>
      </c>
      <c r="I443" s="3">
        <v>0</v>
      </c>
      <c r="J443" t="s">
        <v>857</v>
      </c>
      <c r="K443">
        <f t="shared" si="19"/>
        <v>1418.68</v>
      </c>
      <c r="L443">
        <f t="shared" si="20"/>
        <v>1418.68</v>
      </c>
    </row>
    <row r="444" spans="1:12" x14ac:dyDescent="0.2">
      <c r="A444" t="s">
        <v>593</v>
      </c>
      <c r="B444" s="1">
        <v>45723</v>
      </c>
      <c r="C444" t="s">
        <v>54</v>
      </c>
      <c r="D444" t="s">
        <v>15</v>
      </c>
      <c r="E444" t="s">
        <v>56</v>
      </c>
      <c r="F444">
        <v>345.61</v>
      </c>
      <c r="G444" s="2">
        <f t="shared" si="18"/>
        <v>345.61</v>
      </c>
      <c r="H444">
        <v>2</v>
      </c>
      <c r="I444" s="3">
        <v>0</v>
      </c>
      <c r="J444">
        <v>1</v>
      </c>
      <c r="K444">
        <f t="shared" si="19"/>
        <v>691.22</v>
      </c>
      <c r="L444">
        <f t="shared" si="20"/>
        <v>691.22</v>
      </c>
    </row>
    <row r="445" spans="1:12" x14ac:dyDescent="0.2">
      <c r="A445" t="s">
        <v>91</v>
      </c>
      <c r="B445" s="1">
        <v>46002</v>
      </c>
      <c r="C445" t="s">
        <v>43</v>
      </c>
      <c r="D445" t="s">
        <v>15</v>
      </c>
      <c r="E445" t="s">
        <v>22</v>
      </c>
      <c r="F445">
        <v>416.86</v>
      </c>
      <c r="G445" s="2">
        <f t="shared" si="18"/>
        <v>416.86</v>
      </c>
      <c r="H445">
        <v>5</v>
      </c>
      <c r="I445" s="3">
        <v>0.15</v>
      </c>
      <c r="J445">
        <v>5</v>
      </c>
      <c r="K445">
        <f t="shared" si="19"/>
        <v>2084.3000000000002</v>
      </c>
      <c r="L445">
        <f t="shared" si="20"/>
        <v>1771.6550000000002</v>
      </c>
    </row>
    <row r="446" spans="1:12" x14ac:dyDescent="0.2">
      <c r="A446" t="s">
        <v>214</v>
      </c>
      <c r="B446" s="1">
        <v>45784</v>
      </c>
      <c r="C446" t="s">
        <v>10</v>
      </c>
      <c r="D446" t="s">
        <v>11</v>
      </c>
      <c r="E446" t="s">
        <v>30</v>
      </c>
      <c r="F446">
        <v>963.43</v>
      </c>
      <c r="G446" s="2">
        <f t="shared" si="18"/>
        <v>963.43</v>
      </c>
      <c r="H446">
        <v>10</v>
      </c>
      <c r="I446" s="3">
        <v>0</v>
      </c>
      <c r="J446">
        <v>3</v>
      </c>
      <c r="K446">
        <f t="shared" si="19"/>
        <v>9634.2999999999993</v>
      </c>
      <c r="L446">
        <f t="shared" si="20"/>
        <v>9634.2999999999993</v>
      </c>
    </row>
    <row r="447" spans="1:12" x14ac:dyDescent="0.2">
      <c r="A447" t="s">
        <v>112</v>
      </c>
      <c r="B447" s="1">
        <v>45715</v>
      </c>
      <c r="C447" t="s">
        <v>43</v>
      </c>
      <c r="D447" t="s">
        <v>15</v>
      </c>
      <c r="E447" t="s">
        <v>30</v>
      </c>
      <c r="F447">
        <v>385.28</v>
      </c>
      <c r="G447" s="2">
        <f t="shared" si="18"/>
        <v>385.28</v>
      </c>
      <c r="H447">
        <v>1</v>
      </c>
      <c r="I447" s="3">
        <v>0.2</v>
      </c>
      <c r="J447">
        <v>5</v>
      </c>
      <c r="K447">
        <f t="shared" si="19"/>
        <v>385.28</v>
      </c>
      <c r="L447">
        <f t="shared" si="20"/>
        <v>308.22399999999999</v>
      </c>
    </row>
    <row r="448" spans="1:12" x14ac:dyDescent="0.2">
      <c r="A448" t="s">
        <v>142</v>
      </c>
      <c r="B448" s="1">
        <v>45666</v>
      </c>
      <c r="C448" t="s">
        <v>856</v>
      </c>
      <c r="D448" t="s">
        <v>11</v>
      </c>
      <c r="E448" t="s">
        <v>18</v>
      </c>
      <c r="F448">
        <v>1072.74</v>
      </c>
      <c r="G448" s="2">
        <f t="shared" si="18"/>
        <v>1072.74</v>
      </c>
      <c r="H448">
        <v>2</v>
      </c>
      <c r="I448" s="3">
        <v>0</v>
      </c>
      <c r="J448">
        <v>2</v>
      </c>
      <c r="K448">
        <f t="shared" si="19"/>
        <v>2145.48</v>
      </c>
      <c r="L448">
        <f t="shared" si="20"/>
        <v>2145.48</v>
      </c>
    </row>
    <row r="449" spans="1:12" x14ac:dyDescent="0.2">
      <c r="A449" t="s">
        <v>366</v>
      </c>
      <c r="B449" s="1">
        <v>45675</v>
      </c>
      <c r="C449" t="s">
        <v>34</v>
      </c>
      <c r="D449" t="s">
        <v>11</v>
      </c>
      <c r="E449" t="s">
        <v>56</v>
      </c>
      <c r="F449">
        <v>1009.71</v>
      </c>
      <c r="G449" s="2">
        <f t="shared" si="18"/>
        <v>1009.71</v>
      </c>
      <c r="H449">
        <v>10</v>
      </c>
      <c r="I449" s="3">
        <v>0.15</v>
      </c>
      <c r="J449">
        <v>1</v>
      </c>
      <c r="K449">
        <f t="shared" si="19"/>
        <v>10097.1</v>
      </c>
      <c r="L449">
        <f t="shared" si="20"/>
        <v>8582.5349999999999</v>
      </c>
    </row>
    <row r="450" spans="1:12" x14ac:dyDescent="0.2">
      <c r="A450" t="s">
        <v>762</v>
      </c>
      <c r="B450" s="1">
        <v>45680</v>
      </c>
      <c r="C450" t="s">
        <v>32</v>
      </c>
      <c r="D450" t="s">
        <v>21</v>
      </c>
      <c r="E450" t="s">
        <v>30</v>
      </c>
      <c r="F450">
        <v>1761.47</v>
      </c>
      <c r="G450" s="2">
        <f t="shared" ref="G450:G513" si="21">IF(F450="", AVERAGEIF(C:C, C450, F:F), F450)</f>
        <v>1761.47</v>
      </c>
      <c r="H450">
        <v>5</v>
      </c>
      <c r="I450" s="3">
        <v>0.1</v>
      </c>
      <c r="J450">
        <v>4</v>
      </c>
      <c r="K450">
        <f t="shared" si="19"/>
        <v>8807.35</v>
      </c>
      <c r="L450">
        <f t="shared" si="20"/>
        <v>7926.6150000000007</v>
      </c>
    </row>
    <row r="451" spans="1:12" x14ac:dyDescent="0.2">
      <c r="A451" t="s">
        <v>545</v>
      </c>
      <c r="B451" s="1">
        <v>45686</v>
      </c>
      <c r="C451" t="s">
        <v>17</v>
      </c>
      <c r="D451" t="s">
        <v>11</v>
      </c>
      <c r="E451" t="s">
        <v>30</v>
      </c>
      <c r="G451" s="2">
        <f t="shared" si="21"/>
        <v>1177.5582978723407</v>
      </c>
      <c r="H451">
        <v>1</v>
      </c>
      <c r="I451" s="3">
        <v>0.15</v>
      </c>
      <c r="J451">
        <v>4</v>
      </c>
      <c r="K451">
        <f t="shared" ref="K451:K514" si="22">G451*H451</f>
        <v>1177.5582978723407</v>
      </c>
      <c r="L451">
        <f t="shared" ref="L451:L514" si="23">G451*H451*(1-I451)</f>
        <v>1000.9245531914896</v>
      </c>
    </row>
    <row r="452" spans="1:12" x14ac:dyDescent="0.2">
      <c r="A452" t="s">
        <v>532</v>
      </c>
      <c r="B452" s="1">
        <v>45952</v>
      </c>
      <c r="C452" t="s">
        <v>32</v>
      </c>
      <c r="D452" t="s">
        <v>21</v>
      </c>
      <c r="E452" t="s">
        <v>18</v>
      </c>
      <c r="F452">
        <v>1600.69</v>
      </c>
      <c r="G452" s="2">
        <f t="shared" si="21"/>
        <v>1600.69</v>
      </c>
      <c r="H452">
        <v>3</v>
      </c>
      <c r="I452" s="3">
        <v>0.15</v>
      </c>
      <c r="J452">
        <v>5</v>
      </c>
      <c r="K452">
        <f t="shared" si="22"/>
        <v>4802.07</v>
      </c>
      <c r="L452">
        <f t="shared" si="23"/>
        <v>4081.7594999999997</v>
      </c>
    </row>
    <row r="453" spans="1:12" x14ac:dyDescent="0.2">
      <c r="A453" t="s">
        <v>383</v>
      </c>
      <c r="B453" s="1">
        <v>45731</v>
      </c>
      <c r="C453" t="s">
        <v>32</v>
      </c>
      <c r="D453" t="s">
        <v>21</v>
      </c>
      <c r="E453" t="s">
        <v>18</v>
      </c>
      <c r="F453">
        <v>1368.76</v>
      </c>
      <c r="G453" s="2">
        <f t="shared" si="21"/>
        <v>1368.76</v>
      </c>
      <c r="H453">
        <v>2</v>
      </c>
      <c r="I453" s="3">
        <v>0.1</v>
      </c>
      <c r="J453">
        <v>4</v>
      </c>
      <c r="K453">
        <f t="shared" si="22"/>
        <v>2737.52</v>
      </c>
      <c r="L453">
        <f t="shared" si="23"/>
        <v>2463.768</v>
      </c>
    </row>
    <row r="454" spans="1:12" x14ac:dyDescent="0.2">
      <c r="A454" t="s">
        <v>753</v>
      </c>
      <c r="B454" s="1">
        <v>45943</v>
      </c>
      <c r="C454" t="s">
        <v>43</v>
      </c>
      <c r="D454" t="s">
        <v>15</v>
      </c>
      <c r="E454" t="s">
        <v>56</v>
      </c>
      <c r="F454">
        <v>487.53</v>
      </c>
      <c r="G454" s="2">
        <f t="shared" si="21"/>
        <v>487.53</v>
      </c>
      <c r="H454">
        <v>1</v>
      </c>
      <c r="I454" s="3">
        <v>0.2</v>
      </c>
      <c r="J454">
        <v>5</v>
      </c>
      <c r="K454">
        <f t="shared" si="22"/>
        <v>487.53</v>
      </c>
      <c r="L454">
        <f t="shared" si="23"/>
        <v>390.024</v>
      </c>
    </row>
    <row r="455" spans="1:12" x14ac:dyDescent="0.2">
      <c r="A455" t="s">
        <v>671</v>
      </c>
      <c r="B455" s="1">
        <v>45682</v>
      </c>
      <c r="C455" t="s">
        <v>17</v>
      </c>
      <c r="D455" t="s">
        <v>11</v>
      </c>
      <c r="E455" t="s">
        <v>22</v>
      </c>
      <c r="F455">
        <v>1208.46</v>
      </c>
      <c r="G455" s="2">
        <f t="shared" si="21"/>
        <v>1208.46</v>
      </c>
      <c r="H455">
        <v>3</v>
      </c>
      <c r="I455" s="3">
        <v>0.2</v>
      </c>
      <c r="J455">
        <v>5</v>
      </c>
      <c r="K455">
        <f t="shared" si="22"/>
        <v>3625.38</v>
      </c>
      <c r="L455">
        <f t="shared" si="23"/>
        <v>2900.3040000000001</v>
      </c>
    </row>
    <row r="456" spans="1:12" x14ac:dyDescent="0.2">
      <c r="A456" t="s">
        <v>817</v>
      </c>
      <c r="B456" s="1">
        <v>45821</v>
      </c>
      <c r="C456" t="s">
        <v>10</v>
      </c>
      <c r="D456" t="s">
        <v>11</v>
      </c>
      <c r="E456" t="s">
        <v>56</v>
      </c>
      <c r="F456">
        <v>1032.07</v>
      </c>
      <c r="G456" s="2">
        <f t="shared" si="21"/>
        <v>1032.07</v>
      </c>
      <c r="H456">
        <v>5</v>
      </c>
      <c r="I456" s="3">
        <v>0.1</v>
      </c>
      <c r="J456">
        <v>3</v>
      </c>
      <c r="K456">
        <f t="shared" si="22"/>
        <v>5160.3499999999995</v>
      </c>
      <c r="L456">
        <f t="shared" si="23"/>
        <v>4644.3149999999996</v>
      </c>
    </row>
    <row r="457" spans="1:12" x14ac:dyDescent="0.2">
      <c r="A457" t="s">
        <v>150</v>
      </c>
      <c r="B457" s="1">
        <v>45752</v>
      </c>
      <c r="C457" t="s">
        <v>43</v>
      </c>
      <c r="D457" t="s">
        <v>15</v>
      </c>
      <c r="E457" t="s">
        <v>22</v>
      </c>
      <c r="F457">
        <v>364.98</v>
      </c>
      <c r="G457" s="2">
        <f t="shared" si="21"/>
        <v>364.98</v>
      </c>
      <c r="H457">
        <v>10</v>
      </c>
      <c r="I457" s="3">
        <v>0</v>
      </c>
      <c r="J457">
        <v>4</v>
      </c>
      <c r="K457">
        <f t="shared" si="22"/>
        <v>3649.8</v>
      </c>
      <c r="L457">
        <f t="shared" si="23"/>
        <v>3649.8</v>
      </c>
    </row>
    <row r="458" spans="1:12" x14ac:dyDescent="0.2">
      <c r="A458" t="s">
        <v>218</v>
      </c>
      <c r="B458" s="1">
        <v>46020</v>
      </c>
      <c r="C458" t="s">
        <v>43</v>
      </c>
      <c r="D458" t="s">
        <v>15</v>
      </c>
      <c r="E458" t="s">
        <v>18</v>
      </c>
      <c r="F458">
        <v>342.14</v>
      </c>
      <c r="G458" s="2">
        <f t="shared" si="21"/>
        <v>342.14</v>
      </c>
      <c r="H458">
        <v>1</v>
      </c>
      <c r="I458" s="3">
        <v>0.1</v>
      </c>
      <c r="J458">
        <v>1</v>
      </c>
      <c r="K458">
        <f t="shared" si="22"/>
        <v>342.14</v>
      </c>
      <c r="L458">
        <f t="shared" si="23"/>
        <v>307.92599999999999</v>
      </c>
    </row>
    <row r="459" spans="1:12" x14ac:dyDescent="0.2">
      <c r="A459" t="s">
        <v>146</v>
      </c>
      <c r="B459" s="1">
        <v>45871</v>
      </c>
      <c r="C459" t="s">
        <v>17</v>
      </c>
      <c r="D459" t="s">
        <v>11</v>
      </c>
      <c r="E459" t="s">
        <v>22</v>
      </c>
      <c r="F459">
        <v>1146.97</v>
      </c>
      <c r="G459" s="2">
        <f t="shared" si="21"/>
        <v>1146.97</v>
      </c>
      <c r="H459">
        <v>1</v>
      </c>
      <c r="I459" s="3">
        <v>0.1</v>
      </c>
      <c r="J459">
        <v>4</v>
      </c>
      <c r="K459">
        <f t="shared" si="22"/>
        <v>1146.97</v>
      </c>
      <c r="L459">
        <f t="shared" si="23"/>
        <v>1032.2730000000001</v>
      </c>
    </row>
    <row r="460" spans="1:12" x14ac:dyDescent="0.2">
      <c r="A460" t="s">
        <v>228</v>
      </c>
      <c r="B460" s="1">
        <v>45827</v>
      </c>
      <c r="C460" t="s">
        <v>43</v>
      </c>
      <c r="D460" t="s">
        <v>15</v>
      </c>
      <c r="E460" t="s">
        <v>30</v>
      </c>
      <c r="F460">
        <v>392.99</v>
      </c>
      <c r="G460" s="2">
        <f t="shared" si="21"/>
        <v>392.99</v>
      </c>
      <c r="H460">
        <v>1</v>
      </c>
      <c r="I460" s="3">
        <v>0.1</v>
      </c>
      <c r="J460">
        <v>5</v>
      </c>
      <c r="K460">
        <f t="shared" si="22"/>
        <v>392.99</v>
      </c>
      <c r="L460">
        <f t="shared" si="23"/>
        <v>353.69100000000003</v>
      </c>
    </row>
    <row r="461" spans="1:12" x14ac:dyDescent="0.2">
      <c r="A461" t="s">
        <v>61</v>
      </c>
      <c r="B461" s="1">
        <v>45755</v>
      </c>
      <c r="C461" t="s">
        <v>34</v>
      </c>
      <c r="D461" t="s">
        <v>11</v>
      </c>
      <c r="E461" t="s">
        <v>56</v>
      </c>
      <c r="F461">
        <v>1381.8</v>
      </c>
      <c r="G461" s="2">
        <f t="shared" si="21"/>
        <v>1381.8</v>
      </c>
      <c r="H461">
        <v>1</v>
      </c>
      <c r="I461" s="3">
        <v>0</v>
      </c>
      <c r="J461">
        <v>5</v>
      </c>
      <c r="K461">
        <f t="shared" si="22"/>
        <v>1381.8</v>
      </c>
      <c r="L461">
        <f t="shared" si="23"/>
        <v>1381.8</v>
      </c>
    </row>
    <row r="462" spans="1:12" x14ac:dyDescent="0.2">
      <c r="A462" t="s">
        <v>574</v>
      </c>
      <c r="B462" s="1">
        <v>45966</v>
      </c>
      <c r="C462" t="s">
        <v>856</v>
      </c>
      <c r="D462" t="s">
        <v>11</v>
      </c>
      <c r="E462" t="s">
        <v>56</v>
      </c>
      <c r="F462">
        <v>1072.68</v>
      </c>
      <c r="G462" s="2">
        <f t="shared" si="21"/>
        <v>1072.68</v>
      </c>
      <c r="H462">
        <v>1</v>
      </c>
      <c r="I462" s="3">
        <v>0</v>
      </c>
      <c r="J462">
        <v>4</v>
      </c>
      <c r="K462">
        <f t="shared" si="22"/>
        <v>1072.68</v>
      </c>
      <c r="L462">
        <f t="shared" si="23"/>
        <v>1072.68</v>
      </c>
    </row>
    <row r="463" spans="1:12" x14ac:dyDescent="0.2">
      <c r="A463" t="s">
        <v>709</v>
      </c>
      <c r="B463" s="1">
        <v>45958</v>
      </c>
      <c r="C463" t="s">
        <v>10</v>
      </c>
      <c r="D463" t="s">
        <v>11</v>
      </c>
      <c r="E463" t="s">
        <v>18</v>
      </c>
      <c r="F463">
        <v>1061.8</v>
      </c>
      <c r="G463" s="2">
        <f t="shared" si="21"/>
        <v>1061.8</v>
      </c>
      <c r="H463">
        <v>2</v>
      </c>
      <c r="I463" s="3">
        <v>0.1</v>
      </c>
      <c r="J463">
        <v>4</v>
      </c>
      <c r="K463">
        <f t="shared" si="22"/>
        <v>2123.6</v>
      </c>
      <c r="L463">
        <f t="shared" si="23"/>
        <v>1911.24</v>
      </c>
    </row>
    <row r="464" spans="1:12" x14ac:dyDescent="0.2">
      <c r="A464" t="s">
        <v>295</v>
      </c>
      <c r="B464" s="1">
        <v>45813</v>
      </c>
      <c r="C464" t="s">
        <v>10</v>
      </c>
      <c r="D464" t="s">
        <v>11</v>
      </c>
      <c r="E464" t="s">
        <v>18</v>
      </c>
      <c r="F464">
        <v>1133.99</v>
      </c>
      <c r="G464" s="2">
        <f t="shared" si="21"/>
        <v>1133.99</v>
      </c>
      <c r="H464">
        <v>1</v>
      </c>
      <c r="I464" s="3">
        <v>0</v>
      </c>
      <c r="J464">
        <v>4</v>
      </c>
      <c r="K464">
        <f t="shared" si="22"/>
        <v>1133.99</v>
      </c>
      <c r="L464">
        <f t="shared" si="23"/>
        <v>1133.99</v>
      </c>
    </row>
    <row r="465" spans="1:12" x14ac:dyDescent="0.2">
      <c r="A465" t="s">
        <v>426</v>
      </c>
      <c r="B465" s="1">
        <v>45903</v>
      </c>
      <c r="C465" t="s">
        <v>29</v>
      </c>
      <c r="D465" t="s">
        <v>15</v>
      </c>
      <c r="E465" t="s">
        <v>56</v>
      </c>
      <c r="F465">
        <v>188.87</v>
      </c>
      <c r="G465" s="2">
        <f t="shared" si="21"/>
        <v>188.87</v>
      </c>
      <c r="H465">
        <v>2</v>
      </c>
      <c r="I465" s="3">
        <v>0.2</v>
      </c>
      <c r="J465">
        <v>4</v>
      </c>
      <c r="K465">
        <f t="shared" si="22"/>
        <v>377.74</v>
      </c>
      <c r="L465">
        <f t="shared" si="23"/>
        <v>302.19200000000001</v>
      </c>
    </row>
    <row r="466" spans="1:12" x14ac:dyDescent="0.2">
      <c r="A466" t="s">
        <v>313</v>
      </c>
      <c r="B466" s="1">
        <v>45940</v>
      </c>
      <c r="C466" t="s">
        <v>54</v>
      </c>
      <c r="D466" t="s">
        <v>15</v>
      </c>
      <c r="E466" t="s">
        <v>30</v>
      </c>
      <c r="F466">
        <v>243.94</v>
      </c>
      <c r="G466" s="2">
        <f t="shared" si="21"/>
        <v>243.94</v>
      </c>
      <c r="H466">
        <v>3</v>
      </c>
      <c r="I466" s="3">
        <v>0</v>
      </c>
      <c r="J466">
        <v>5</v>
      </c>
      <c r="K466">
        <f t="shared" si="22"/>
        <v>731.81999999999994</v>
      </c>
      <c r="L466">
        <f t="shared" si="23"/>
        <v>731.81999999999994</v>
      </c>
    </row>
    <row r="467" spans="1:12" x14ac:dyDescent="0.2">
      <c r="A467" t="s">
        <v>385</v>
      </c>
      <c r="B467" s="1">
        <v>45990</v>
      </c>
      <c r="C467" t="s">
        <v>14</v>
      </c>
      <c r="D467" t="s">
        <v>15</v>
      </c>
      <c r="E467" t="s">
        <v>56</v>
      </c>
      <c r="F467">
        <v>445.68</v>
      </c>
      <c r="G467" s="2">
        <f t="shared" si="21"/>
        <v>445.68</v>
      </c>
      <c r="H467">
        <v>3</v>
      </c>
      <c r="I467" s="3">
        <v>0</v>
      </c>
      <c r="J467">
        <v>4</v>
      </c>
      <c r="K467">
        <f t="shared" si="22"/>
        <v>1337.04</v>
      </c>
      <c r="L467">
        <f t="shared" si="23"/>
        <v>1337.04</v>
      </c>
    </row>
    <row r="468" spans="1:12" x14ac:dyDescent="0.2">
      <c r="A468" t="s">
        <v>761</v>
      </c>
      <c r="B468" s="1">
        <v>45912</v>
      </c>
      <c r="C468" t="s">
        <v>43</v>
      </c>
      <c r="D468" t="s">
        <v>15</v>
      </c>
      <c r="E468" t="s">
        <v>56</v>
      </c>
      <c r="F468">
        <v>465.15</v>
      </c>
      <c r="G468" s="2">
        <f t="shared" si="21"/>
        <v>465.15</v>
      </c>
      <c r="H468">
        <v>10</v>
      </c>
      <c r="I468" s="3">
        <v>0</v>
      </c>
      <c r="J468">
        <v>5</v>
      </c>
      <c r="K468">
        <f t="shared" si="22"/>
        <v>4651.5</v>
      </c>
      <c r="L468">
        <f t="shared" si="23"/>
        <v>4651.5</v>
      </c>
    </row>
    <row r="469" spans="1:12" x14ac:dyDescent="0.2">
      <c r="A469" t="s">
        <v>714</v>
      </c>
      <c r="B469" s="1">
        <v>45821</v>
      </c>
      <c r="C469" t="s">
        <v>10</v>
      </c>
      <c r="D469" t="s">
        <v>11</v>
      </c>
      <c r="E469" t="s">
        <v>18</v>
      </c>
      <c r="F469">
        <v>1140.23</v>
      </c>
      <c r="G469" s="2">
        <f t="shared" si="21"/>
        <v>1140.23</v>
      </c>
      <c r="H469">
        <v>2</v>
      </c>
      <c r="I469" s="3">
        <v>0</v>
      </c>
      <c r="J469">
        <v>5</v>
      </c>
      <c r="K469">
        <f t="shared" si="22"/>
        <v>2280.46</v>
      </c>
      <c r="L469">
        <f t="shared" si="23"/>
        <v>2280.46</v>
      </c>
    </row>
    <row r="470" spans="1:12" x14ac:dyDescent="0.2">
      <c r="A470" t="s">
        <v>707</v>
      </c>
      <c r="B470" s="1">
        <v>45946</v>
      </c>
      <c r="C470" t="s">
        <v>54</v>
      </c>
      <c r="D470" t="s">
        <v>15</v>
      </c>
      <c r="E470" t="s">
        <v>56</v>
      </c>
      <c r="F470">
        <v>390.36</v>
      </c>
      <c r="G470" s="2">
        <f t="shared" si="21"/>
        <v>390.36</v>
      </c>
      <c r="H470">
        <v>2</v>
      </c>
      <c r="I470" s="3">
        <v>0.2</v>
      </c>
      <c r="J470">
        <v>3</v>
      </c>
      <c r="K470">
        <f t="shared" si="22"/>
        <v>780.72</v>
      </c>
      <c r="L470">
        <f t="shared" si="23"/>
        <v>624.57600000000002</v>
      </c>
    </row>
    <row r="471" spans="1:12" x14ac:dyDescent="0.2">
      <c r="A471" t="s">
        <v>397</v>
      </c>
      <c r="B471" s="1">
        <v>45941</v>
      </c>
      <c r="C471" t="s">
        <v>34</v>
      </c>
      <c r="D471" t="s">
        <v>11</v>
      </c>
      <c r="E471" t="s">
        <v>18</v>
      </c>
      <c r="F471">
        <v>1274.7</v>
      </c>
      <c r="G471" s="2">
        <f t="shared" si="21"/>
        <v>1274.7</v>
      </c>
      <c r="H471">
        <v>5</v>
      </c>
      <c r="I471" s="3">
        <v>0</v>
      </c>
      <c r="J471">
        <v>3</v>
      </c>
      <c r="K471">
        <f t="shared" si="22"/>
        <v>6373.5</v>
      </c>
      <c r="L471">
        <f t="shared" si="23"/>
        <v>6373.5</v>
      </c>
    </row>
    <row r="472" spans="1:12" x14ac:dyDescent="0.2">
      <c r="A472" t="s">
        <v>324</v>
      </c>
      <c r="B472" s="1">
        <v>45775</v>
      </c>
      <c r="C472" t="s">
        <v>32</v>
      </c>
      <c r="D472" t="s">
        <v>21</v>
      </c>
      <c r="E472" t="s">
        <v>18</v>
      </c>
      <c r="F472">
        <v>2908.4</v>
      </c>
      <c r="G472" s="2">
        <f t="shared" si="21"/>
        <v>2908.4</v>
      </c>
      <c r="H472">
        <v>5</v>
      </c>
      <c r="I472" s="3">
        <v>0.15</v>
      </c>
      <c r="J472">
        <v>4</v>
      </c>
      <c r="K472">
        <f t="shared" si="22"/>
        <v>14542</v>
      </c>
      <c r="L472">
        <f t="shared" si="23"/>
        <v>12360.699999999999</v>
      </c>
    </row>
    <row r="473" spans="1:12" x14ac:dyDescent="0.2">
      <c r="A473" t="s">
        <v>600</v>
      </c>
      <c r="B473" s="1">
        <v>45993</v>
      </c>
      <c r="C473" t="s">
        <v>14</v>
      </c>
      <c r="D473" t="s">
        <v>15</v>
      </c>
      <c r="E473" t="s">
        <v>56</v>
      </c>
      <c r="F473">
        <v>428.37</v>
      </c>
      <c r="G473" s="2">
        <f t="shared" si="21"/>
        <v>428.37</v>
      </c>
      <c r="H473">
        <v>3</v>
      </c>
      <c r="I473" s="3">
        <v>0</v>
      </c>
      <c r="J473">
        <v>5</v>
      </c>
      <c r="K473">
        <f t="shared" si="22"/>
        <v>1285.1100000000001</v>
      </c>
      <c r="L473">
        <f t="shared" si="23"/>
        <v>1285.1100000000001</v>
      </c>
    </row>
    <row r="474" spans="1:12" x14ac:dyDescent="0.2">
      <c r="A474" t="s">
        <v>107</v>
      </c>
      <c r="B474" s="1">
        <v>45909</v>
      </c>
      <c r="C474" t="s">
        <v>29</v>
      </c>
      <c r="D474" t="s">
        <v>15</v>
      </c>
      <c r="E474" t="s">
        <v>30</v>
      </c>
      <c r="F474">
        <v>341.05</v>
      </c>
      <c r="G474" s="2">
        <f t="shared" si="21"/>
        <v>341.05</v>
      </c>
      <c r="H474">
        <v>10</v>
      </c>
      <c r="I474" s="3">
        <v>0</v>
      </c>
      <c r="J474">
        <v>5</v>
      </c>
      <c r="K474">
        <f t="shared" si="22"/>
        <v>3410.5</v>
      </c>
      <c r="L474">
        <f t="shared" si="23"/>
        <v>3410.5</v>
      </c>
    </row>
    <row r="475" spans="1:12" x14ac:dyDescent="0.2">
      <c r="A475" t="s">
        <v>792</v>
      </c>
      <c r="B475" s="1">
        <v>45937</v>
      </c>
      <c r="C475" t="s">
        <v>32</v>
      </c>
      <c r="D475" t="s">
        <v>21</v>
      </c>
      <c r="E475" t="s">
        <v>30</v>
      </c>
      <c r="F475">
        <v>1456.01</v>
      </c>
      <c r="G475" s="2">
        <f t="shared" si="21"/>
        <v>1456.01</v>
      </c>
      <c r="H475">
        <v>10</v>
      </c>
      <c r="I475" s="3">
        <v>0</v>
      </c>
      <c r="J475" t="s">
        <v>857</v>
      </c>
      <c r="K475">
        <f t="shared" si="22"/>
        <v>14560.1</v>
      </c>
      <c r="L475">
        <f t="shared" si="23"/>
        <v>14560.1</v>
      </c>
    </row>
    <row r="476" spans="1:12" x14ac:dyDescent="0.2">
      <c r="A476" t="s">
        <v>429</v>
      </c>
      <c r="B476" s="1">
        <v>45926</v>
      </c>
      <c r="C476" t="s">
        <v>856</v>
      </c>
      <c r="D476" t="s">
        <v>11</v>
      </c>
      <c r="E476" t="s">
        <v>56</v>
      </c>
      <c r="F476">
        <v>814.45</v>
      </c>
      <c r="G476" s="2">
        <f t="shared" si="21"/>
        <v>814.45</v>
      </c>
      <c r="H476">
        <v>1</v>
      </c>
      <c r="I476" s="3">
        <v>0</v>
      </c>
      <c r="J476">
        <v>1</v>
      </c>
      <c r="K476">
        <f t="shared" si="22"/>
        <v>814.45</v>
      </c>
      <c r="L476">
        <f t="shared" si="23"/>
        <v>814.45</v>
      </c>
    </row>
    <row r="477" spans="1:12" x14ac:dyDescent="0.2">
      <c r="A477" t="s">
        <v>812</v>
      </c>
      <c r="B477" s="1">
        <v>45869</v>
      </c>
      <c r="C477" t="s">
        <v>10</v>
      </c>
      <c r="D477" t="s">
        <v>11</v>
      </c>
      <c r="E477" t="s">
        <v>56</v>
      </c>
      <c r="F477">
        <v>1248.83</v>
      </c>
      <c r="G477" s="2">
        <f t="shared" si="21"/>
        <v>1248.83</v>
      </c>
      <c r="H477">
        <v>1</v>
      </c>
      <c r="I477" s="3">
        <v>0.2</v>
      </c>
      <c r="J477">
        <v>4</v>
      </c>
      <c r="K477">
        <f t="shared" si="22"/>
        <v>1248.83</v>
      </c>
      <c r="L477">
        <f t="shared" si="23"/>
        <v>999.06399999999996</v>
      </c>
    </row>
    <row r="478" spans="1:12" x14ac:dyDescent="0.2">
      <c r="A478" t="s">
        <v>68</v>
      </c>
      <c r="B478" s="1">
        <v>45735</v>
      </c>
      <c r="C478" t="s">
        <v>34</v>
      </c>
      <c r="D478" t="s">
        <v>11</v>
      </c>
      <c r="E478" t="s">
        <v>30</v>
      </c>
      <c r="F478">
        <v>1018.48</v>
      </c>
      <c r="G478" s="2">
        <f t="shared" si="21"/>
        <v>1018.48</v>
      </c>
      <c r="H478">
        <v>1</v>
      </c>
      <c r="I478" s="3">
        <v>0</v>
      </c>
      <c r="J478" t="s">
        <v>857</v>
      </c>
      <c r="K478">
        <f t="shared" si="22"/>
        <v>1018.48</v>
      </c>
      <c r="L478">
        <f t="shared" si="23"/>
        <v>1018.48</v>
      </c>
    </row>
    <row r="479" spans="1:12" x14ac:dyDescent="0.2">
      <c r="A479" t="s">
        <v>412</v>
      </c>
      <c r="B479" s="1">
        <v>45688</v>
      </c>
      <c r="C479" t="s">
        <v>14</v>
      </c>
      <c r="D479" t="s">
        <v>15</v>
      </c>
      <c r="E479" t="s">
        <v>18</v>
      </c>
      <c r="F479">
        <v>250.44</v>
      </c>
      <c r="G479" s="2">
        <f t="shared" si="21"/>
        <v>250.44</v>
      </c>
      <c r="H479">
        <v>10</v>
      </c>
      <c r="I479" s="3">
        <v>0.2</v>
      </c>
      <c r="J479">
        <v>5</v>
      </c>
      <c r="K479">
        <f t="shared" si="22"/>
        <v>2504.4</v>
      </c>
      <c r="L479">
        <f t="shared" si="23"/>
        <v>2003.5200000000002</v>
      </c>
    </row>
    <row r="480" spans="1:12" x14ac:dyDescent="0.2">
      <c r="A480" t="s">
        <v>728</v>
      </c>
      <c r="B480" s="1">
        <v>45930</v>
      </c>
      <c r="C480" t="s">
        <v>34</v>
      </c>
      <c r="D480" t="s">
        <v>11</v>
      </c>
      <c r="E480" t="s">
        <v>56</v>
      </c>
      <c r="F480">
        <v>1044.82</v>
      </c>
      <c r="G480" s="2">
        <f t="shared" si="21"/>
        <v>1044.82</v>
      </c>
      <c r="H480">
        <v>5</v>
      </c>
      <c r="I480" s="3">
        <v>0</v>
      </c>
      <c r="J480">
        <v>1</v>
      </c>
      <c r="K480">
        <f t="shared" si="22"/>
        <v>5224.0999999999995</v>
      </c>
      <c r="L480">
        <f t="shared" si="23"/>
        <v>5224.0999999999995</v>
      </c>
    </row>
    <row r="481" spans="1:12" x14ac:dyDescent="0.2">
      <c r="A481" t="s">
        <v>320</v>
      </c>
      <c r="B481" s="1">
        <v>45798</v>
      </c>
      <c r="C481" t="s">
        <v>17</v>
      </c>
      <c r="D481" t="s">
        <v>11</v>
      </c>
      <c r="E481" t="s">
        <v>30</v>
      </c>
      <c r="F481">
        <v>940.43</v>
      </c>
      <c r="G481" s="2">
        <f t="shared" si="21"/>
        <v>940.43</v>
      </c>
      <c r="H481">
        <v>2</v>
      </c>
      <c r="I481" s="3">
        <v>0</v>
      </c>
      <c r="J481" t="s">
        <v>857</v>
      </c>
      <c r="K481">
        <f t="shared" si="22"/>
        <v>1880.86</v>
      </c>
      <c r="L481">
        <f t="shared" si="23"/>
        <v>1880.86</v>
      </c>
    </row>
    <row r="482" spans="1:12" x14ac:dyDescent="0.2">
      <c r="A482" t="s">
        <v>734</v>
      </c>
      <c r="B482" s="1">
        <v>46003</v>
      </c>
      <c r="C482" t="s">
        <v>10</v>
      </c>
      <c r="D482" t="s">
        <v>11</v>
      </c>
      <c r="E482" t="s">
        <v>30</v>
      </c>
      <c r="F482">
        <v>1604.91</v>
      </c>
      <c r="G482" s="2">
        <f t="shared" si="21"/>
        <v>1604.91</v>
      </c>
      <c r="H482">
        <v>5</v>
      </c>
      <c r="I482" s="3">
        <v>0</v>
      </c>
      <c r="J482">
        <v>2</v>
      </c>
      <c r="K482">
        <f t="shared" si="22"/>
        <v>8024.55</v>
      </c>
      <c r="L482">
        <f t="shared" si="23"/>
        <v>8024.55</v>
      </c>
    </row>
    <row r="483" spans="1:12" x14ac:dyDescent="0.2">
      <c r="A483" t="s">
        <v>139</v>
      </c>
      <c r="B483" s="1">
        <v>45926</v>
      </c>
      <c r="C483" t="s">
        <v>26</v>
      </c>
      <c r="D483" t="s">
        <v>27</v>
      </c>
      <c r="E483" t="s">
        <v>56</v>
      </c>
      <c r="F483">
        <v>705.8</v>
      </c>
      <c r="G483" s="2">
        <f t="shared" si="21"/>
        <v>705.8</v>
      </c>
      <c r="H483">
        <v>1</v>
      </c>
      <c r="I483" s="3">
        <v>0</v>
      </c>
      <c r="J483">
        <v>4</v>
      </c>
      <c r="K483">
        <f t="shared" si="22"/>
        <v>705.8</v>
      </c>
      <c r="L483">
        <f t="shared" si="23"/>
        <v>705.8</v>
      </c>
    </row>
    <row r="484" spans="1:12" x14ac:dyDescent="0.2">
      <c r="A484" t="s">
        <v>643</v>
      </c>
      <c r="B484" s="1">
        <v>45787</v>
      </c>
      <c r="C484" t="s">
        <v>856</v>
      </c>
      <c r="D484" t="s">
        <v>11</v>
      </c>
      <c r="E484" t="s">
        <v>56</v>
      </c>
      <c r="F484">
        <v>1198.0899999999999</v>
      </c>
      <c r="G484" s="2">
        <f t="shared" si="21"/>
        <v>1198.0899999999999</v>
      </c>
      <c r="H484">
        <v>3</v>
      </c>
      <c r="I484" s="3">
        <v>0</v>
      </c>
      <c r="J484">
        <v>5</v>
      </c>
      <c r="K484">
        <f t="shared" si="22"/>
        <v>3594.2699999999995</v>
      </c>
      <c r="L484">
        <f t="shared" si="23"/>
        <v>3594.2699999999995</v>
      </c>
    </row>
    <row r="485" spans="1:12" x14ac:dyDescent="0.2">
      <c r="A485" t="s">
        <v>452</v>
      </c>
      <c r="B485" s="1">
        <v>45865</v>
      </c>
      <c r="C485" t="s">
        <v>34</v>
      </c>
      <c r="D485" t="s">
        <v>11</v>
      </c>
      <c r="E485" t="s">
        <v>18</v>
      </c>
      <c r="F485">
        <v>1555.19</v>
      </c>
      <c r="G485" s="2">
        <f t="shared" si="21"/>
        <v>1555.19</v>
      </c>
      <c r="H485">
        <v>10</v>
      </c>
      <c r="I485" s="3">
        <v>0.15</v>
      </c>
      <c r="J485">
        <v>4</v>
      </c>
      <c r="K485">
        <f t="shared" si="22"/>
        <v>15551.900000000001</v>
      </c>
      <c r="L485">
        <f t="shared" si="23"/>
        <v>13219.115000000002</v>
      </c>
    </row>
    <row r="486" spans="1:12" x14ac:dyDescent="0.2">
      <c r="A486" t="s">
        <v>314</v>
      </c>
      <c r="B486" s="1">
        <v>45811</v>
      </c>
      <c r="C486" t="s">
        <v>29</v>
      </c>
      <c r="D486" t="s">
        <v>15</v>
      </c>
      <c r="E486" t="s">
        <v>30</v>
      </c>
      <c r="F486">
        <v>355.42</v>
      </c>
      <c r="G486" s="2">
        <f t="shared" si="21"/>
        <v>355.42</v>
      </c>
      <c r="H486">
        <v>1</v>
      </c>
      <c r="I486" s="3">
        <v>0.2</v>
      </c>
      <c r="J486">
        <v>1</v>
      </c>
      <c r="K486">
        <f t="shared" si="22"/>
        <v>355.42</v>
      </c>
      <c r="L486">
        <f t="shared" si="23"/>
        <v>284.33600000000001</v>
      </c>
    </row>
    <row r="487" spans="1:12" x14ac:dyDescent="0.2">
      <c r="A487" t="s">
        <v>423</v>
      </c>
      <c r="B487" s="1">
        <v>45852</v>
      </c>
      <c r="C487" t="s">
        <v>34</v>
      </c>
      <c r="D487" t="s">
        <v>11</v>
      </c>
      <c r="E487" t="s">
        <v>22</v>
      </c>
      <c r="F487">
        <v>993.29</v>
      </c>
      <c r="G487" s="2">
        <f t="shared" si="21"/>
        <v>993.29</v>
      </c>
      <c r="H487">
        <v>5</v>
      </c>
      <c r="I487" s="3">
        <v>0.15</v>
      </c>
      <c r="J487">
        <v>5</v>
      </c>
      <c r="K487">
        <f t="shared" si="22"/>
        <v>4966.45</v>
      </c>
      <c r="L487">
        <f t="shared" si="23"/>
        <v>4221.4825000000001</v>
      </c>
    </row>
    <row r="488" spans="1:12" x14ac:dyDescent="0.2">
      <c r="A488" t="s">
        <v>814</v>
      </c>
      <c r="B488" s="1">
        <v>45662</v>
      </c>
      <c r="C488" t="s">
        <v>34</v>
      </c>
      <c r="D488" t="s">
        <v>11</v>
      </c>
      <c r="E488" t="s">
        <v>30</v>
      </c>
      <c r="F488">
        <v>1565.55</v>
      </c>
      <c r="G488" s="2">
        <f t="shared" si="21"/>
        <v>1565.55</v>
      </c>
      <c r="H488">
        <v>1</v>
      </c>
      <c r="I488" s="3">
        <v>0</v>
      </c>
      <c r="J488">
        <v>5</v>
      </c>
      <c r="K488">
        <f t="shared" si="22"/>
        <v>1565.55</v>
      </c>
      <c r="L488">
        <f t="shared" si="23"/>
        <v>1565.55</v>
      </c>
    </row>
    <row r="489" spans="1:12" x14ac:dyDescent="0.2">
      <c r="A489" t="s">
        <v>745</v>
      </c>
      <c r="B489" s="1">
        <v>45988</v>
      </c>
      <c r="C489" t="s">
        <v>10</v>
      </c>
      <c r="D489" t="s">
        <v>11</v>
      </c>
      <c r="E489" t="s">
        <v>22</v>
      </c>
      <c r="G489" s="2">
        <f t="shared" si="21"/>
        <v>1165.8711904761906</v>
      </c>
      <c r="H489">
        <v>3</v>
      </c>
      <c r="I489" s="3">
        <v>0.15</v>
      </c>
      <c r="J489">
        <v>2</v>
      </c>
      <c r="K489">
        <f t="shared" si="22"/>
        <v>3497.613571428572</v>
      </c>
      <c r="L489">
        <f t="shared" si="23"/>
        <v>2972.9715357142859</v>
      </c>
    </row>
    <row r="490" spans="1:12" x14ac:dyDescent="0.2">
      <c r="A490" t="s">
        <v>546</v>
      </c>
      <c r="B490" s="1">
        <v>45679</v>
      </c>
      <c r="C490" t="s">
        <v>26</v>
      </c>
      <c r="D490" t="s">
        <v>27</v>
      </c>
      <c r="E490" t="s">
        <v>56</v>
      </c>
      <c r="F490">
        <v>475.53</v>
      </c>
      <c r="G490" s="2">
        <f t="shared" si="21"/>
        <v>475.53</v>
      </c>
      <c r="H490">
        <v>2</v>
      </c>
      <c r="I490" s="3">
        <v>0</v>
      </c>
      <c r="J490">
        <v>5</v>
      </c>
      <c r="K490">
        <f t="shared" si="22"/>
        <v>951.06</v>
      </c>
      <c r="L490">
        <f t="shared" si="23"/>
        <v>951.06</v>
      </c>
    </row>
    <row r="491" spans="1:12" x14ac:dyDescent="0.2">
      <c r="A491" t="s">
        <v>730</v>
      </c>
      <c r="B491" s="1">
        <v>45696</v>
      </c>
      <c r="C491" t="s">
        <v>43</v>
      </c>
      <c r="D491" t="s">
        <v>15</v>
      </c>
      <c r="E491" t="s">
        <v>56</v>
      </c>
      <c r="F491">
        <v>336.68</v>
      </c>
      <c r="G491" s="2">
        <f t="shared" si="21"/>
        <v>336.68</v>
      </c>
      <c r="H491">
        <v>2</v>
      </c>
      <c r="I491" s="3">
        <v>0.15</v>
      </c>
      <c r="J491">
        <v>1</v>
      </c>
      <c r="K491">
        <f t="shared" si="22"/>
        <v>673.36</v>
      </c>
      <c r="L491">
        <f t="shared" si="23"/>
        <v>572.35599999999999</v>
      </c>
    </row>
    <row r="492" spans="1:12" x14ac:dyDescent="0.2">
      <c r="A492" t="s">
        <v>497</v>
      </c>
      <c r="B492" s="1">
        <v>45819</v>
      </c>
      <c r="C492" t="s">
        <v>32</v>
      </c>
      <c r="D492" t="s">
        <v>21</v>
      </c>
      <c r="E492" t="s">
        <v>18</v>
      </c>
      <c r="F492">
        <v>1484.78</v>
      </c>
      <c r="G492" s="2">
        <f t="shared" si="21"/>
        <v>1484.78</v>
      </c>
      <c r="H492">
        <v>1</v>
      </c>
      <c r="I492" s="3">
        <v>0</v>
      </c>
      <c r="J492">
        <v>3</v>
      </c>
      <c r="K492">
        <f t="shared" si="22"/>
        <v>1484.78</v>
      </c>
      <c r="L492">
        <f t="shared" si="23"/>
        <v>1484.78</v>
      </c>
    </row>
    <row r="493" spans="1:12" x14ac:dyDescent="0.2">
      <c r="A493" t="s">
        <v>395</v>
      </c>
      <c r="B493" s="1">
        <v>46022</v>
      </c>
      <c r="C493" t="s">
        <v>10</v>
      </c>
      <c r="D493" t="s">
        <v>11</v>
      </c>
      <c r="E493" t="s">
        <v>18</v>
      </c>
      <c r="F493">
        <v>868.13</v>
      </c>
      <c r="G493" s="2">
        <f t="shared" si="21"/>
        <v>868.13</v>
      </c>
      <c r="H493">
        <v>5</v>
      </c>
      <c r="I493" s="3">
        <v>0</v>
      </c>
      <c r="J493">
        <v>4</v>
      </c>
      <c r="K493">
        <f t="shared" si="22"/>
        <v>4340.6499999999996</v>
      </c>
      <c r="L493">
        <f t="shared" si="23"/>
        <v>4340.6499999999996</v>
      </c>
    </row>
    <row r="494" spans="1:12" x14ac:dyDescent="0.2">
      <c r="A494" t="s">
        <v>225</v>
      </c>
      <c r="B494" s="1">
        <v>45781</v>
      </c>
      <c r="C494" t="s">
        <v>32</v>
      </c>
      <c r="D494" t="s">
        <v>21</v>
      </c>
      <c r="E494" t="s">
        <v>56</v>
      </c>
      <c r="F494">
        <v>2133.42</v>
      </c>
      <c r="G494" s="2">
        <f t="shared" si="21"/>
        <v>2133.42</v>
      </c>
      <c r="H494">
        <v>5</v>
      </c>
      <c r="I494" s="3">
        <v>0.2</v>
      </c>
      <c r="J494" t="s">
        <v>857</v>
      </c>
      <c r="K494">
        <f t="shared" si="22"/>
        <v>10667.1</v>
      </c>
      <c r="L494">
        <f t="shared" si="23"/>
        <v>8533.68</v>
      </c>
    </row>
    <row r="495" spans="1:12" x14ac:dyDescent="0.2">
      <c r="A495" t="s">
        <v>387</v>
      </c>
      <c r="B495" s="1">
        <v>45729</v>
      </c>
      <c r="C495" t="s">
        <v>43</v>
      </c>
      <c r="D495" t="s">
        <v>15</v>
      </c>
      <c r="E495" t="s">
        <v>22</v>
      </c>
      <c r="F495">
        <v>483.66</v>
      </c>
      <c r="G495" s="2">
        <f t="shared" si="21"/>
        <v>483.66</v>
      </c>
      <c r="H495">
        <v>1</v>
      </c>
      <c r="I495" s="3">
        <v>0.15</v>
      </c>
      <c r="J495">
        <v>5</v>
      </c>
      <c r="K495">
        <f t="shared" si="22"/>
        <v>483.66</v>
      </c>
      <c r="L495">
        <f t="shared" si="23"/>
        <v>411.11099999999999</v>
      </c>
    </row>
    <row r="496" spans="1:12" x14ac:dyDescent="0.2">
      <c r="A496" t="s">
        <v>852</v>
      </c>
      <c r="B496" s="1">
        <v>45881</v>
      </c>
      <c r="C496" t="s">
        <v>34</v>
      </c>
      <c r="D496" t="s">
        <v>11</v>
      </c>
      <c r="E496" t="s">
        <v>56</v>
      </c>
      <c r="F496">
        <v>864.34</v>
      </c>
      <c r="G496" s="2">
        <f t="shared" si="21"/>
        <v>864.34</v>
      </c>
      <c r="H496">
        <v>2</v>
      </c>
      <c r="I496" s="3">
        <v>0</v>
      </c>
      <c r="J496">
        <v>5</v>
      </c>
      <c r="K496">
        <f t="shared" si="22"/>
        <v>1728.68</v>
      </c>
      <c r="L496">
        <f t="shared" si="23"/>
        <v>1728.68</v>
      </c>
    </row>
    <row r="497" spans="1:12" x14ac:dyDescent="0.2">
      <c r="A497" t="s">
        <v>288</v>
      </c>
      <c r="B497" s="1">
        <v>45972</v>
      </c>
      <c r="C497" t="s">
        <v>856</v>
      </c>
      <c r="D497" t="s">
        <v>11</v>
      </c>
      <c r="E497" t="s">
        <v>18</v>
      </c>
      <c r="F497">
        <v>1335.11</v>
      </c>
      <c r="G497" s="2">
        <f t="shared" si="21"/>
        <v>1335.11</v>
      </c>
      <c r="H497">
        <v>5</v>
      </c>
      <c r="I497" s="3">
        <v>0</v>
      </c>
      <c r="J497">
        <v>1</v>
      </c>
      <c r="K497">
        <f t="shared" si="22"/>
        <v>6675.5499999999993</v>
      </c>
      <c r="L497">
        <f t="shared" si="23"/>
        <v>6675.5499999999993</v>
      </c>
    </row>
    <row r="498" spans="1:12" x14ac:dyDescent="0.2">
      <c r="A498" t="s">
        <v>345</v>
      </c>
      <c r="B498" s="1">
        <v>45888</v>
      </c>
      <c r="C498" t="s">
        <v>856</v>
      </c>
      <c r="D498" t="s">
        <v>11</v>
      </c>
      <c r="E498" t="s">
        <v>18</v>
      </c>
      <c r="F498">
        <v>1043.8499999999999</v>
      </c>
      <c r="G498" s="2">
        <f t="shared" si="21"/>
        <v>1043.8499999999999</v>
      </c>
      <c r="H498">
        <v>10</v>
      </c>
      <c r="I498" s="3">
        <v>0</v>
      </c>
      <c r="J498">
        <v>5</v>
      </c>
      <c r="K498">
        <f t="shared" si="22"/>
        <v>10438.5</v>
      </c>
      <c r="L498">
        <f t="shared" si="23"/>
        <v>10438.5</v>
      </c>
    </row>
    <row r="499" spans="1:12" x14ac:dyDescent="0.2">
      <c r="A499" t="s">
        <v>495</v>
      </c>
      <c r="B499" s="1">
        <v>45879</v>
      </c>
      <c r="C499" t="s">
        <v>17</v>
      </c>
      <c r="D499" t="s">
        <v>11</v>
      </c>
      <c r="E499" t="s">
        <v>860</v>
      </c>
      <c r="F499">
        <v>1083.0899999999999</v>
      </c>
      <c r="G499" s="2">
        <f t="shared" si="21"/>
        <v>1083.0899999999999</v>
      </c>
      <c r="H499">
        <v>1</v>
      </c>
      <c r="I499" s="3">
        <v>0.2</v>
      </c>
      <c r="J499">
        <v>5</v>
      </c>
      <c r="K499">
        <f t="shared" si="22"/>
        <v>1083.0899999999999</v>
      </c>
      <c r="L499">
        <f t="shared" si="23"/>
        <v>866.47199999999998</v>
      </c>
    </row>
    <row r="500" spans="1:12" x14ac:dyDescent="0.2">
      <c r="A500" t="s">
        <v>668</v>
      </c>
      <c r="B500" s="1">
        <v>45974</v>
      </c>
      <c r="C500" t="s">
        <v>34</v>
      </c>
      <c r="D500" t="s">
        <v>11</v>
      </c>
      <c r="E500" t="s">
        <v>18</v>
      </c>
      <c r="F500">
        <v>1057.83</v>
      </c>
      <c r="G500" s="2">
        <f t="shared" si="21"/>
        <v>1057.83</v>
      </c>
      <c r="H500">
        <v>2</v>
      </c>
      <c r="I500" s="3">
        <v>0</v>
      </c>
      <c r="J500">
        <v>2</v>
      </c>
      <c r="K500">
        <f t="shared" si="22"/>
        <v>2115.66</v>
      </c>
      <c r="L500">
        <f t="shared" si="23"/>
        <v>2115.66</v>
      </c>
    </row>
    <row r="501" spans="1:12" x14ac:dyDescent="0.2">
      <c r="A501" t="s">
        <v>36</v>
      </c>
      <c r="B501" s="1">
        <v>45736</v>
      </c>
      <c r="C501" t="s">
        <v>34</v>
      </c>
      <c r="D501" t="s">
        <v>11</v>
      </c>
      <c r="E501" t="s">
        <v>18</v>
      </c>
      <c r="F501">
        <v>992.64</v>
      </c>
      <c r="G501" s="2">
        <f t="shared" si="21"/>
        <v>992.64</v>
      </c>
      <c r="H501">
        <v>5</v>
      </c>
      <c r="I501" s="3">
        <v>0.2</v>
      </c>
      <c r="J501">
        <v>3</v>
      </c>
      <c r="K501">
        <f t="shared" si="22"/>
        <v>4963.2</v>
      </c>
      <c r="L501">
        <f t="shared" si="23"/>
        <v>3970.56</v>
      </c>
    </row>
    <row r="502" spans="1:12" x14ac:dyDescent="0.2">
      <c r="A502" t="s">
        <v>48</v>
      </c>
      <c r="B502" s="1">
        <v>45820</v>
      </c>
      <c r="C502" t="s">
        <v>29</v>
      </c>
      <c r="D502" t="s">
        <v>15</v>
      </c>
      <c r="E502" t="s">
        <v>22</v>
      </c>
      <c r="F502">
        <v>353.4</v>
      </c>
      <c r="G502" s="2">
        <f t="shared" si="21"/>
        <v>353.4</v>
      </c>
      <c r="H502">
        <v>3</v>
      </c>
      <c r="I502" s="3">
        <v>0</v>
      </c>
      <c r="J502">
        <v>2</v>
      </c>
      <c r="K502">
        <f t="shared" si="22"/>
        <v>1060.1999999999998</v>
      </c>
      <c r="L502">
        <f t="shared" si="23"/>
        <v>1060.1999999999998</v>
      </c>
    </row>
    <row r="503" spans="1:12" x14ac:dyDescent="0.2">
      <c r="A503" t="s">
        <v>260</v>
      </c>
      <c r="B503" s="1">
        <v>45885</v>
      </c>
      <c r="C503" t="s">
        <v>34</v>
      </c>
      <c r="D503" t="s">
        <v>11</v>
      </c>
      <c r="E503" t="s">
        <v>18</v>
      </c>
      <c r="F503">
        <v>1000.57</v>
      </c>
      <c r="G503" s="2">
        <f t="shared" si="21"/>
        <v>1000.57</v>
      </c>
      <c r="H503">
        <v>3</v>
      </c>
      <c r="I503" s="3">
        <v>0</v>
      </c>
      <c r="J503">
        <v>2</v>
      </c>
      <c r="K503">
        <f t="shared" si="22"/>
        <v>3001.71</v>
      </c>
      <c r="L503">
        <f t="shared" si="23"/>
        <v>3001.71</v>
      </c>
    </row>
    <row r="504" spans="1:12" x14ac:dyDescent="0.2">
      <c r="A504" t="s">
        <v>233</v>
      </c>
      <c r="B504" s="1">
        <v>45753</v>
      </c>
      <c r="C504" t="s">
        <v>32</v>
      </c>
      <c r="D504" t="s">
        <v>21</v>
      </c>
      <c r="E504" t="s">
        <v>56</v>
      </c>
      <c r="F504">
        <v>1897.36</v>
      </c>
      <c r="G504" s="2">
        <f t="shared" si="21"/>
        <v>1897.36</v>
      </c>
      <c r="H504">
        <v>5</v>
      </c>
      <c r="I504" s="3">
        <v>0.1</v>
      </c>
      <c r="J504" t="s">
        <v>857</v>
      </c>
      <c r="K504">
        <f t="shared" si="22"/>
        <v>9486.7999999999993</v>
      </c>
      <c r="L504">
        <f t="shared" si="23"/>
        <v>8538.119999999999</v>
      </c>
    </row>
    <row r="505" spans="1:12" x14ac:dyDescent="0.2">
      <c r="A505" t="s">
        <v>306</v>
      </c>
      <c r="B505" s="1">
        <v>45866</v>
      </c>
      <c r="C505" t="s">
        <v>17</v>
      </c>
      <c r="D505" t="s">
        <v>11</v>
      </c>
      <c r="E505" t="s">
        <v>56</v>
      </c>
      <c r="F505">
        <v>1187.94</v>
      </c>
      <c r="G505" s="2">
        <f t="shared" si="21"/>
        <v>1187.94</v>
      </c>
      <c r="H505">
        <v>1</v>
      </c>
      <c r="I505" s="3">
        <v>0</v>
      </c>
      <c r="J505">
        <v>2</v>
      </c>
      <c r="K505">
        <f t="shared" si="22"/>
        <v>1187.94</v>
      </c>
      <c r="L505">
        <f t="shared" si="23"/>
        <v>1187.94</v>
      </c>
    </row>
    <row r="506" spans="1:12" x14ac:dyDescent="0.2">
      <c r="A506" t="s">
        <v>834</v>
      </c>
      <c r="B506" s="1">
        <v>45705</v>
      </c>
      <c r="C506" t="s">
        <v>43</v>
      </c>
      <c r="D506" t="s">
        <v>15</v>
      </c>
      <c r="E506" t="s">
        <v>56</v>
      </c>
      <c r="F506">
        <v>333.27</v>
      </c>
      <c r="G506" s="2">
        <f t="shared" si="21"/>
        <v>333.27</v>
      </c>
      <c r="H506">
        <v>3</v>
      </c>
      <c r="I506" s="3">
        <v>0.1</v>
      </c>
      <c r="J506">
        <v>1</v>
      </c>
      <c r="K506">
        <f t="shared" si="22"/>
        <v>999.81</v>
      </c>
      <c r="L506">
        <f t="shared" si="23"/>
        <v>899.82899999999995</v>
      </c>
    </row>
    <row r="507" spans="1:12" x14ac:dyDescent="0.2">
      <c r="A507" t="s">
        <v>523</v>
      </c>
      <c r="B507" s="1">
        <v>45856</v>
      </c>
      <c r="C507" t="s">
        <v>43</v>
      </c>
      <c r="D507" t="s">
        <v>15</v>
      </c>
      <c r="E507" t="s">
        <v>22</v>
      </c>
      <c r="F507">
        <v>286.47000000000003</v>
      </c>
      <c r="G507" s="2">
        <f t="shared" si="21"/>
        <v>286.47000000000003</v>
      </c>
      <c r="H507">
        <v>1</v>
      </c>
      <c r="I507" s="3">
        <v>0.2</v>
      </c>
      <c r="J507" t="s">
        <v>857</v>
      </c>
      <c r="K507">
        <f t="shared" si="22"/>
        <v>286.47000000000003</v>
      </c>
      <c r="L507">
        <f t="shared" si="23"/>
        <v>229.17600000000004</v>
      </c>
    </row>
    <row r="508" spans="1:12" x14ac:dyDescent="0.2">
      <c r="A508" t="s">
        <v>445</v>
      </c>
      <c r="B508" s="1">
        <v>45950</v>
      </c>
      <c r="C508" t="s">
        <v>26</v>
      </c>
      <c r="D508" t="s">
        <v>27</v>
      </c>
      <c r="E508" t="s">
        <v>30</v>
      </c>
      <c r="F508">
        <v>530.79</v>
      </c>
      <c r="G508" s="2">
        <f t="shared" si="21"/>
        <v>530.79</v>
      </c>
      <c r="H508">
        <v>1</v>
      </c>
      <c r="I508" s="3">
        <v>0.2</v>
      </c>
      <c r="J508">
        <v>5</v>
      </c>
      <c r="K508">
        <f t="shared" si="22"/>
        <v>530.79</v>
      </c>
      <c r="L508">
        <f t="shared" si="23"/>
        <v>424.63200000000001</v>
      </c>
    </row>
    <row r="509" spans="1:12" x14ac:dyDescent="0.2">
      <c r="A509" t="s">
        <v>511</v>
      </c>
      <c r="B509" s="1">
        <v>45795</v>
      </c>
      <c r="C509" t="s">
        <v>32</v>
      </c>
      <c r="D509" t="s">
        <v>21</v>
      </c>
      <c r="E509" t="s">
        <v>30</v>
      </c>
      <c r="F509">
        <v>2071.94</v>
      </c>
      <c r="G509" s="2">
        <f t="shared" si="21"/>
        <v>2071.94</v>
      </c>
      <c r="H509">
        <v>2</v>
      </c>
      <c r="I509" s="3">
        <v>0</v>
      </c>
      <c r="J509">
        <v>5</v>
      </c>
      <c r="K509">
        <f t="shared" si="22"/>
        <v>4143.88</v>
      </c>
      <c r="L509">
        <f t="shared" si="23"/>
        <v>4143.88</v>
      </c>
    </row>
    <row r="510" spans="1:12" x14ac:dyDescent="0.2">
      <c r="A510" t="s">
        <v>788</v>
      </c>
      <c r="B510" s="1">
        <v>45743</v>
      </c>
      <c r="C510" t="s">
        <v>32</v>
      </c>
      <c r="D510" t="s">
        <v>21</v>
      </c>
      <c r="E510" t="s">
        <v>56</v>
      </c>
      <c r="F510">
        <v>1980.33</v>
      </c>
      <c r="G510" s="2">
        <f t="shared" si="21"/>
        <v>1980.33</v>
      </c>
      <c r="H510">
        <v>5</v>
      </c>
      <c r="I510" s="3">
        <v>0</v>
      </c>
      <c r="J510">
        <v>5</v>
      </c>
      <c r="K510">
        <f t="shared" si="22"/>
        <v>9901.65</v>
      </c>
      <c r="L510">
        <f t="shared" si="23"/>
        <v>9901.65</v>
      </c>
    </row>
    <row r="511" spans="1:12" x14ac:dyDescent="0.2">
      <c r="A511" t="s">
        <v>651</v>
      </c>
      <c r="B511" s="1">
        <v>45697</v>
      </c>
      <c r="C511" t="s">
        <v>43</v>
      </c>
      <c r="D511" t="s">
        <v>15</v>
      </c>
      <c r="E511" t="s">
        <v>22</v>
      </c>
      <c r="F511">
        <v>281.57</v>
      </c>
      <c r="G511" s="2">
        <f t="shared" si="21"/>
        <v>281.57</v>
      </c>
      <c r="H511">
        <v>3</v>
      </c>
      <c r="I511" s="3">
        <v>0</v>
      </c>
      <c r="J511">
        <v>4</v>
      </c>
      <c r="K511">
        <f t="shared" si="22"/>
        <v>844.71</v>
      </c>
      <c r="L511">
        <f t="shared" si="23"/>
        <v>844.71</v>
      </c>
    </row>
    <row r="512" spans="1:12" x14ac:dyDescent="0.2">
      <c r="A512" t="s">
        <v>72</v>
      </c>
      <c r="B512" s="1">
        <v>45911</v>
      </c>
      <c r="C512" t="s">
        <v>29</v>
      </c>
      <c r="D512" t="s">
        <v>15</v>
      </c>
      <c r="E512" t="s">
        <v>30</v>
      </c>
      <c r="F512">
        <v>356.95</v>
      </c>
      <c r="G512" s="2">
        <f t="shared" si="21"/>
        <v>356.95</v>
      </c>
      <c r="H512">
        <v>2</v>
      </c>
      <c r="I512" s="3">
        <v>0.1</v>
      </c>
      <c r="J512">
        <v>2</v>
      </c>
      <c r="K512">
        <f t="shared" si="22"/>
        <v>713.9</v>
      </c>
      <c r="L512">
        <f t="shared" si="23"/>
        <v>642.51</v>
      </c>
    </row>
    <row r="513" spans="1:12" x14ac:dyDescent="0.2">
      <c r="A513" t="s">
        <v>661</v>
      </c>
      <c r="B513" s="1">
        <v>45661</v>
      </c>
      <c r="C513" t="s">
        <v>32</v>
      </c>
      <c r="D513" t="s">
        <v>21</v>
      </c>
      <c r="E513" t="s">
        <v>18</v>
      </c>
      <c r="F513">
        <v>2070.5</v>
      </c>
      <c r="G513" s="2">
        <f t="shared" si="21"/>
        <v>2070.5</v>
      </c>
      <c r="H513">
        <v>5</v>
      </c>
      <c r="I513" s="3">
        <v>0</v>
      </c>
      <c r="J513">
        <v>5</v>
      </c>
      <c r="K513">
        <f t="shared" si="22"/>
        <v>10352.5</v>
      </c>
      <c r="L513">
        <f t="shared" si="23"/>
        <v>10352.5</v>
      </c>
    </row>
    <row r="514" spans="1:12" x14ac:dyDescent="0.2">
      <c r="A514" t="s">
        <v>618</v>
      </c>
      <c r="B514" s="1">
        <v>45826</v>
      </c>
      <c r="C514" t="s">
        <v>10</v>
      </c>
      <c r="D514" t="s">
        <v>11</v>
      </c>
      <c r="E514" t="s">
        <v>18</v>
      </c>
      <c r="F514">
        <v>799.34</v>
      </c>
      <c r="G514" s="2">
        <f t="shared" ref="G514:G577" si="24">IF(F514="", AVERAGEIF(C:C, C514, F:F), F514)</f>
        <v>799.34</v>
      </c>
      <c r="H514">
        <v>10</v>
      </c>
      <c r="I514" s="3">
        <v>0</v>
      </c>
      <c r="J514">
        <v>5</v>
      </c>
      <c r="K514">
        <f t="shared" si="22"/>
        <v>7993.4000000000005</v>
      </c>
      <c r="L514">
        <f t="shared" si="23"/>
        <v>7993.4000000000005</v>
      </c>
    </row>
    <row r="515" spans="1:12" x14ac:dyDescent="0.2">
      <c r="A515" t="s">
        <v>655</v>
      </c>
      <c r="B515" s="1">
        <v>45991</v>
      </c>
      <c r="C515" t="s">
        <v>10</v>
      </c>
      <c r="D515" t="s">
        <v>11</v>
      </c>
      <c r="E515" t="s">
        <v>18</v>
      </c>
      <c r="F515">
        <v>1330.41</v>
      </c>
      <c r="G515" s="2">
        <f t="shared" si="24"/>
        <v>1330.41</v>
      </c>
      <c r="H515">
        <v>1</v>
      </c>
      <c r="I515" s="3">
        <v>0</v>
      </c>
      <c r="J515">
        <v>5</v>
      </c>
      <c r="K515">
        <f t="shared" ref="K515:K578" si="25">G515*H515</f>
        <v>1330.41</v>
      </c>
      <c r="L515">
        <f t="shared" ref="L515:L578" si="26">G515*H515*(1-I515)</f>
        <v>1330.41</v>
      </c>
    </row>
    <row r="516" spans="1:12" x14ac:dyDescent="0.2">
      <c r="A516" t="s">
        <v>802</v>
      </c>
      <c r="B516" s="1">
        <v>45760</v>
      </c>
      <c r="C516" t="s">
        <v>856</v>
      </c>
      <c r="D516" t="s">
        <v>11</v>
      </c>
      <c r="E516" t="s">
        <v>30</v>
      </c>
      <c r="F516">
        <v>1040.97</v>
      </c>
      <c r="G516" s="2">
        <f t="shared" si="24"/>
        <v>1040.97</v>
      </c>
      <c r="H516">
        <v>10</v>
      </c>
      <c r="I516" s="3">
        <v>0</v>
      </c>
      <c r="J516">
        <v>3</v>
      </c>
      <c r="K516">
        <f t="shared" si="25"/>
        <v>10409.700000000001</v>
      </c>
      <c r="L516">
        <f t="shared" si="26"/>
        <v>10409.700000000001</v>
      </c>
    </row>
    <row r="517" spans="1:12" x14ac:dyDescent="0.2">
      <c r="A517" t="s">
        <v>83</v>
      </c>
      <c r="B517" s="1">
        <v>45807</v>
      </c>
      <c r="C517" t="s">
        <v>54</v>
      </c>
      <c r="D517" t="s">
        <v>15</v>
      </c>
      <c r="E517" t="s">
        <v>18</v>
      </c>
      <c r="F517">
        <v>389.94</v>
      </c>
      <c r="G517" s="2">
        <f t="shared" si="24"/>
        <v>389.94</v>
      </c>
      <c r="H517">
        <v>10</v>
      </c>
      <c r="I517" s="3">
        <v>0.15</v>
      </c>
      <c r="J517">
        <v>4</v>
      </c>
      <c r="K517">
        <f t="shared" si="25"/>
        <v>3899.4</v>
      </c>
      <c r="L517">
        <f t="shared" si="26"/>
        <v>3314.49</v>
      </c>
    </row>
    <row r="518" spans="1:12" x14ac:dyDescent="0.2">
      <c r="A518" t="s">
        <v>773</v>
      </c>
      <c r="B518" s="1">
        <v>45801</v>
      </c>
      <c r="C518" t="s">
        <v>43</v>
      </c>
      <c r="D518" t="s">
        <v>15</v>
      </c>
      <c r="E518" t="s">
        <v>22</v>
      </c>
      <c r="F518">
        <v>296.57</v>
      </c>
      <c r="G518" s="2">
        <f t="shared" si="24"/>
        <v>296.57</v>
      </c>
      <c r="H518">
        <v>5</v>
      </c>
      <c r="I518" s="3">
        <v>0</v>
      </c>
      <c r="J518">
        <v>2</v>
      </c>
      <c r="K518">
        <f t="shared" si="25"/>
        <v>1482.85</v>
      </c>
      <c r="L518">
        <f t="shared" si="26"/>
        <v>1482.85</v>
      </c>
    </row>
    <row r="519" spans="1:12" x14ac:dyDescent="0.2">
      <c r="A519" t="s">
        <v>411</v>
      </c>
      <c r="B519" s="1">
        <v>45760</v>
      </c>
      <c r="C519" t="s">
        <v>26</v>
      </c>
      <c r="D519" t="s">
        <v>27</v>
      </c>
      <c r="E519" t="s">
        <v>56</v>
      </c>
      <c r="F519">
        <v>383.41</v>
      </c>
      <c r="G519" s="2">
        <f t="shared" si="24"/>
        <v>383.41</v>
      </c>
      <c r="H519">
        <v>1</v>
      </c>
      <c r="I519" s="3">
        <v>0.2</v>
      </c>
      <c r="J519" t="s">
        <v>857</v>
      </c>
      <c r="K519">
        <f t="shared" si="25"/>
        <v>383.41</v>
      </c>
      <c r="L519">
        <f t="shared" si="26"/>
        <v>306.72800000000001</v>
      </c>
    </row>
    <row r="520" spans="1:12" x14ac:dyDescent="0.2">
      <c r="A520" t="s">
        <v>89</v>
      </c>
      <c r="B520" s="1">
        <v>45894</v>
      </c>
      <c r="C520" t="s">
        <v>34</v>
      </c>
      <c r="D520" t="s">
        <v>11</v>
      </c>
      <c r="E520" t="s">
        <v>30</v>
      </c>
      <c r="F520">
        <v>809.39</v>
      </c>
      <c r="G520" s="2">
        <f t="shared" si="24"/>
        <v>809.39</v>
      </c>
      <c r="H520">
        <v>2</v>
      </c>
      <c r="I520" s="3">
        <v>0.1</v>
      </c>
      <c r="J520">
        <v>4</v>
      </c>
      <c r="K520">
        <f t="shared" si="25"/>
        <v>1618.78</v>
      </c>
      <c r="L520">
        <f t="shared" si="26"/>
        <v>1456.902</v>
      </c>
    </row>
    <row r="521" spans="1:12" x14ac:dyDescent="0.2">
      <c r="A521" t="s">
        <v>576</v>
      </c>
      <c r="B521" s="1">
        <v>45693</v>
      </c>
      <c r="C521" t="s">
        <v>10</v>
      </c>
      <c r="D521" t="s">
        <v>11</v>
      </c>
      <c r="E521" t="s">
        <v>30</v>
      </c>
      <c r="F521">
        <v>1211.54</v>
      </c>
      <c r="G521" s="2">
        <f t="shared" si="24"/>
        <v>1211.54</v>
      </c>
      <c r="H521">
        <v>5</v>
      </c>
      <c r="I521" s="3">
        <v>0.2</v>
      </c>
      <c r="J521">
        <v>5</v>
      </c>
      <c r="K521">
        <f t="shared" si="25"/>
        <v>6057.7</v>
      </c>
      <c r="L521">
        <f t="shared" si="26"/>
        <v>4846.16</v>
      </c>
    </row>
    <row r="522" spans="1:12" x14ac:dyDescent="0.2">
      <c r="A522" t="s">
        <v>174</v>
      </c>
      <c r="B522" s="1">
        <v>45813</v>
      </c>
      <c r="C522" t="s">
        <v>32</v>
      </c>
      <c r="D522" t="s">
        <v>21</v>
      </c>
      <c r="E522" t="s">
        <v>30</v>
      </c>
      <c r="F522">
        <v>1893.5</v>
      </c>
      <c r="G522" s="2">
        <f t="shared" si="24"/>
        <v>1893.5</v>
      </c>
      <c r="H522">
        <v>2</v>
      </c>
      <c r="I522" s="3">
        <v>0</v>
      </c>
      <c r="J522">
        <v>3</v>
      </c>
      <c r="K522">
        <f t="shared" si="25"/>
        <v>3787</v>
      </c>
      <c r="L522">
        <f t="shared" si="26"/>
        <v>3787</v>
      </c>
    </row>
    <row r="523" spans="1:12" x14ac:dyDescent="0.2">
      <c r="A523" t="s">
        <v>726</v>
      </c>
      <c r="B523" s="1">
        <v>45851</v>
      </c>
      <c r="C523" t="s">
        <v>29</v>
      </c>
      <c r="D523" t="s">
        <v>15</v>
      </c>
      <c r="E523" t="s">
        <v>22</v>
      </c>
      <c r="F523">
        <v>286.7</v>
      </c>
      <c r="G523" s="2">
        <f t="shared" si="24"/>
        <v>286.7</v>
      </c>
      <c r="H523">
        <v>1</v>
      </c>
      <c r="I523" s="3">
        <v>0.1</v>
      </c>
      <c r="J523">
        <v>5</v>
      </c>
      <c r="K523">
        <f t="shared" si="25"/>
        <v>286.7</v>
      </c>
      <c r="L523">
        <f t="shared" si="26"/>
        <v>258.02999999999997</v>
      </c>
    </row>
    <row r="524" spans="1:12" x14ac:dyDescent="0.2">
      <c r="A524" t="s">
        <v>285</v>
      </c>
      <c r="B524" s="1">
        <v>45931</v>
      </c>
      <c r="C524" t="s">
        <v>856</v>
      </c>
      <c r="D524" t="s">
        <v>11</v>
      </c>
      <c r="E524" t="s">
        <v>860</v>
      </c>
      <c r="F524">
        <v>1353.26</v>
      </c>
      <c r="G524" s="2">
        <f t="shared" si="24"/>
        <v>1353.26</v>
      </c>
      <c r="H524">
        <v>5</v>
      </c>
      <c r="I524" s="3">
        <v>0.15</v>
      </c>
      <c r="J524">
        <v>1</v>
      </c>
      <c r="K524">
        <f t="shared" si="25"/>
        <v>6766.3</v>
      </c>
      <c r="L524">
        <f t="shared" si="26"/>
        <v>5751.3549999999996</v>
      </c>
    </row>
    <row r="525" spans="1:12" x14ac:dyDescent="0.2">
      <c r="A525" t="s">
        <v>447</v>
      </c>
      <c r="B525" s="1">
        <v>46017</v>
      </c>
      <c r="C525" t="s">
        <v>10</v>
      </c>
      <c r="D525" t="s">
        <v>11</v>
      </c>
      <c r="E525" t="s">
        <v>18</v>
      </c>
      <c r="F525">
        <v>801.24</v>
      </c>
      <c r="G525" s="2">
        <f t="shared" si="24"/>
        <v>801.24</v>
      </c>
      <c r="H525">
        <v>1</v>
      </c>
      <c r="I525" s="3">
        <v>0</v>
      </c>
      <c r="J525">
        <v>4</v>
      </c>
      <c r="K525">
        <f t="shared" si="25"/>
        <v>801.24</v>
      </c>
      <c r="L525">
        <f t="shared" si="26"/>
        <v>801.24</v>
      </c>
    </row>
    <row r="526" spans="1:12" x14ac:dyDescent="0.2">
      <c r="A526" t="s">
        <v>165</v>
      </c>
      <c r="B526" s="1">
        <v>45839</v>
      </c>
      <c r="C526" t="s">
        <v>856</v>
      </c>
      <c r="D526" t="s">
        <v>11</v>
      </c>
      <c r="E526" t="s">
        <v>30</v>
      </c>
      <c r="F526">
        <v>1184.1400000000001</v>
      </c>
      <c r="G526" s="2">
        <f t="shared" si="24"/>
        <v>1184.1400000000001</v>
      </c>
      <c r="H526">
        <v>1</v>
      </c>
      <c r="I526" s="3">
        <v>0.2</v>
      </c>
      <c r="J526">
        <v>1</v>
      </c>
      <c r="K526">
        <f t="shared" si="25"/>
        <v>1184.1400000000001</v>
      </c>
      <c r="L526">
        <f t="shared" si="26"/>
        <v>947.31200000000013</v>
      </c>
    </row>
    <row r="527" spans="1:12" x14ac:dyDescent="0.2">
      <c r="A527" t="s">
        <v>180</v>
      </c>
      <c r="B527" s="1">
        <v>46004</v>
      </c>
      <c r="C527" t="s">
        <v>856</v>
      </c>
      <c r="D527" t="s">
        <v>11</v>
      </c>
      <c r="E527" t="s">
        <v>30</v>
      </c>
      <c r="F527">
        <v>909.36</v>
      </c>
      <c r="G527" s="2">
        <f t="shared" si="24"/>
        <v>909.36</v>
      </c>
      <c r="H527">
        <v>5</v>
      </c>
      <c r="I527" s="3">
        <v>0</v>
      </c>
      <c r="J527">
        <v>5</v>
      </c>
      <c r="K527">
        <f t="shared" si="25"/>
        <v>4546.8</v>
      </c>
      <c r="L527">
        <f t="shared" si="26"/>
        <v>4546.8</v>
      </c>
    </row>
    <row r="528" spans="1:12" x14ac:dyDescent="0.2">
      <c r="A528" t="s">
        <v>299</v>
      </c>
      <c r="B528" s="1">
        <v>45708</v>
      </c>
      <c r="C528" t="s">
        <v>34</v>
      </c>
      <c r="D528" t="s">
        <v>11</v>
      </c>
      <c r="E528" t="s">
        <v>56</v>
      </c>
      <c r="F528">
        <v>1043.56</v>
      </c>
      <c r="G528" s="2">
        <f t="shared" si="24"/>
        <v>1043.56</v>
      </c>
      <c r="H528">
        <v>2</v>
      </c>
      <c r="I528" s="3">
        <v>0</v>
      </c>
      <c r="J528" t="s">
        <v>857</v>
      </c>
      <c r="K528">
        <f t="shared" si="25"/>
        <v>2087.12</v>
      </c>
      <c r="L528">
        <f t="shared" si="26"/>
        <v>2087.12</v>
      </c>
    </row>
    <row r="529" spans="1:12" x14ac:dyDescent="0.2">
      <c r="A529" t="s">
        <v>845</v>
      </c>
      <c r="B529" s="1">
        <v>45943</v>
      </c>
      <c r="C529" t="s">
        <v>29</v>
      </c>
      <c r="D529" t="s">
        <v>15</v>
      </c>
      <c r="E529" t="s">
        <v>56</v>
      </c>
      <c r="F529">
        <v>353.32</v>
      </c>
      <c r="G529" s="2">
        <f t="shared" si="24"/>
        <v>353.32</v>
      </c>
      <c r="H529">
        <v>2</v>
      </c>
      <c r="I529" s="3">
        <v>0.1</v>
      </c>
      <c r="J529">
        <v>5</v>
      </c>
      <c r="K529">
        <f t="shared" si="25"/>
        <v>706.64</v>
      </c>
      <c r="L529">
        <f t="shared" si="26"/>
        <v>635.976</v>
      </c>
    </row>
    <row r="530" spans="1:12" x14ac:dyDescent="0.2">
      <c r="A530" t="s">
        <v>635</v>
      </c>
      <c r="B530" s="1">
        <v>46005</v>
      </c>
      <c r="C530" t="s">
        <v>54</v>
      </c>
      <c r="D530" t="s">
        <v>15</v>
      </c>
      <c r="E530" t="s">
        <v>22</v>
      </c>
      <c r="F530">
        <v>289.77</v>
      </c>
      <c r="G530" s="2">
        <f t="shared" si="24"/>
        <v>289.77</v>
      </c>
      <c r="H530">
        <v>1</v>
      </c>
      <c r="I530" s="3">
        <v>0</v>
      </c>
      <c r="J530">
        <v>1</v>
      </c>
      <c r="K530">
        <f t="shared" si="25"/>
        <v>289.77</v>
      </c>
      <c r="L530">
        <f t="shared" si="26"/>
        <v>289.77</v>
      </c>
    </row>
    <row r="531" spans="1:12" x14ac:dyDescent="0.2">
      <c r="A531" t="s">
        <v>853</v>
      </c>
      <c r="B531" s="1">
        <v>45809</v>
      </c>
      <c r="C531" t="s">
        <v>14</v>
      </c>
      <c r="D531" t="s">
        <v>15</v>
      </c>
      <c r="E531" t="s">
        <v>56</v>
      </c>
      <c r="F531">
        <v>323.08</v>
      </c>
      <c r="G531" s="2">
        <f t="shared" si="24"/>
        <v>323.08</v>
      </c>
      <c r="H531">
        <v>5</v>
      </c>
      <c r="I531" s="3">
        <v>0</v>
      </c>
      <c r="J531">
        <v>2</v>
      </c>
      <c r="K531">
        <f t="shared" si="25"/>
        <v>1615.3999999999999</v>
      </c>
      <c r="L531">
        <f t="shared" si="26"/>
        <v>1615.3999999999999</v>
      </c>
    </row>
    <row r="532" spans="1:12" x14ac:dyDescent="0.2">
      <c r="A532" t="s">
        <v>226</v>
      </c>
      <c r="B532" s="1">
        <v>45730</v>
      </c>
      <c r="C532" t="s">
        <v>10</v>
      </c>
      <c r="D532" t="s">
        <v>11</v>
      </c>
      <c r="E532" t="s">
        <v>30</v>
      </c>
      <c r="F532">
        <v>1441.51</v>
      </c>
      <c r="G532" s="2">
        <f t="shared" si="24"/>
        <v>1441.51</v>
      </c>
      <c r="H532">
        <v>3</v>
      </c>
      <c r="I532" s="3">
        <v>0</v>
      </c>
      <c r="J532">
        <v>5</v>
      </c>
      <c r="K532">
        <f t="shared" si="25"/>
        <v>4324.53</v>
      </c>
      <c r="L532">
        <f t="shared" si="26"/>
        <v>4324.53</v>
      </c>
    </row>
    <row r="533" spans="1:12" x14ac:dyDescent="0.2">
      <c r="A533" t="s">
        <v>667</v>
      </c>
      <c r="B533" s="1">
        <v>45763</v>
      </c>
      <c r="C533" t="s">
        <v>14</v>
      </c>
      <c r="D533" t="s">
        <v>15</v>
      </c>
      <c r="E533" t="s">
        <v>18</v>
      </c>
      <c r="F533">
        <v>309.62</v>
      </c>
      <c r="G533" s="2">
        <f t="shared" si="24"/>
        <v>309.62</v>
      </c>
      <c r="H533">
        <v>10</v>
      </c>
      <c r="I533" s="3">
        <v>0</v>
      </c>
      <c r="J533">
        <v>5</v>
      </c>
      <c r="K533">
        <f t="shared" si="25"/>
        <v>3096.2</v>
      </c>
      <c r="L533">
        <f t="shared" si="26"/>
        <v>3096.2</v>
      </c>
    </row>
    <row r="534" spans="1:12" x14ac:dyDescent="0.2">
      <c r="A534" t="s">
        <v>199</v>
      </c>
      <c r="B534" s="1">
        <v>46014</v>
      </c>
      <c r="C534" t="s">
        <v>34</v>
      </c>
      <c r="D534" t="s">
        <v>11</v>
      </c>
      <c r="E534" t="s">
        <v>22</v>
      </c>
      <c r="F534">
        <v>1400.57</v>
      </c>
      <c r="G534" s="2">
        <f t="shared" si="24"/>
        <v>1400.57</v>
      </c>
      <c r="H534">
        <v>10</v>
      </c>
      <c r="I534" s="3">
        <v>0</v>
      </c>
      <c r="J534">
        <v>2</v>
      </c>
      <c r="K534">
        <f t="shared" si="25"/>
        <v>14005.699999999999</v>
      </c>
      <c r="L534">
        <f t="shared" si="26"/>
        <v>14005.699999999999</v>
      </c>
    </row>
    <row r="535" spans="1:12" x14ac:dyDescent="0.2">
      <c r="A535" t="s">
        <v>231</v>
      </c>
      <c r="B535" s="1">
        <v>46021</v>
      </c>
      <c r="C535" t="s">
        <v>43</v>
      </c>
      <c r="D535" t="s">
        <v>15</v>
      </c>
      <c r="E535" t="s">
        <v>56</v>
      </c>
      <c r="F535">
        <v>270.92</v>
      </c>
      <c r="G535" s="2">
        <f t="shared" si="24"/>
        <v>270.92</v>
      </c>
      <c r="H535">
        <v>1</v>
      </c>
      <c r="I535" s="3">
        <v>0</v>
      </c>
      <c r="J535">
        <v>5</v>
      </c>
      <c r="K535">
        <f t="shared" si="25"/>
        <v>270.92</v>
      </c>
      <c r="L535">
        <f t="shared" si="26"/>
        <v>270.92</v>
      </c>
    </row>
    <row r="536" spans="1:12" x14ac:dyDescent="0.2">
      <c r="A536" t="s">
        <v>247</v>
      </c>
      <c r="B536" s="1">
        <v>46004</v>
      </c>
      <c r="C536" t="s">
        <v>856</v>
      </c>
      <c r="D536" t="s">
        <v>11</v>
      </c>
      <c r="E536" t="s">
        <v>56</v>
      </c>
      <c r="F536">
        <v>1327.15</v>
      </c>
      <c r="G536" s="2">
        <f t="shared" si="24"/>
        <v>1327.15</v>
      </c>
      <c r="H536">
        <v>1</v>
      </c>
      <c r="I536" s="3">
        <v>0.2</v>
      </c>
      <c r="J536">
        <v>4</v>
      </c>
      <c r="K536">
        <f t="shared" si="25"/>
        <v>1327.15</v>
      </c>
      <c r="L536">
        <f t="shared" si="26"/>
        <v>1061.72</v>
      </c>
    </row>
    <row r="537" spans="1:12" x14ac:dyDescent="0.2">
      <c r="A537" t="s">
        <v>478</v>
      </c>
      <c r="B537" s="1">
        <v>45940</v>
      </c>
      <c r="C537" t="s">
        <v>17</v>
      </c>
      <c r="D537" t="s">
        <v>11</v>
      </c>
      <c r="E537" t="s">
        <v>30</v>
      </c>
      <c r="F537">
        <v>1545.98</v>
      </c>
      <c r="G537" s="2">
        <f t="shared" si="24"/>
        <v>1545.98</v>
      </c>
      <c r="H537">
        <v>1</v>
      </c>
      <c r="I537" s="3">
        <v>0</v>
      </c>
      <c r="J537" t="s">
        <v>857</v>
      </c>
      <c r="K537">
        <f t="shared" si="25"/>
        <v>1545.98</v>
      </c>
      <c r="L537">
        <f t="shared" si="26"/>
        <v>1545.98</v>
      </c>
    </row>
    <row r="538" spans="1:12" x14ac:dyDescent="0.2">
      <c r="A538" t="s">
        <v>524</v>
      </c>
      <c r="B538" s="1">
        <v>45776</v>
      </c>
      <c r="C538" t="s">
        <v>54</v>
      </c>
      <c r="D538" t="s">
        <v>15</v>
      </c>
      <c r="E538" t="s">
        <v>22</v>
      </c>
      <c r="F538">
        <v>176.98</v>
      </c>
      <c r="G538" s="2">
        <f t="shared" si="24"/>
        <v>176.98</v>
      </c>
      <c r="H538">
        <v>5</v>
      </c>
      <c r="I538" s="3">
        <v>0.2</v>
      </c>
      <c r="J538">
        <v>3</v>
      </c>
      <c r="K538">
        <f t="shared" si="25"/>
        <v>884.9</v>
      </c>
      <c r="L538">
        <f t="shared" si="26"/>
        <v>707.92000000000007</v>
      </c>
    </row>
    <row r="539" spans="1:12" x14ac:dyDescent="0.2">
      <c r="A539" t="s">
        <v>239</v>
      </c>
      <c r="B539" s="1">
        <v>45994</v>
      </c>
      <c r="C539" t="s">
        <v>32</v>
      </c>
      <c r="D539" t="s">
        <v>21</v>
      </c>
      <c r="E539" t="s">
        <v>30</v>
      </c>
      <c r="F539">
        <v>1513.12</v>
      </c>
      <c r="G539" s="2">
        <f t="shared" si="24"/>
        <v>1513.12</v>
      </c>
      <c r="H539">
        <v>5</v>
      </c>
      <c r="I539" s="3">
        <v>0.1</v>
      </c>
      <c r="J539">
        <v>1</v>
      </c>
      <c r="K539">
        <f t="shared" si="25"/>
        <v>7565.5999999999995</v>
      </c>
      <c r="L539">
        <f t="shared" si="26"/>
        <v>6809.04</v>
      </c>
    </row>
    <row r="540" spans="1:12" x14ac:dyDescent="0.2">
      <c r="A540" t="s">
        <v>614</v>
      </c>
      <c r="B540" s="1">
        <v>45759</v>
      </c>
      <c r="C540" t="s">
        <v>29</v>
      </c>
      <c r="D540" t="s">
        <v>15</v>
      </c>
      <c r="E540" t="s">
        <v>56</v>
      </c>
      <c r="F540">
        <v>390.4</v>
      </c>
      <c r="G540" s="2">
        <f t="shared" si="24"/>
        <v>390.4</v>
      </c>
      <c r="H540">
        <v>10</v>
      </c>
      <c r="I540" s="3">
        <v>0.15</v>
      </c>
      <c r="J540">
        <v>5</v>
      </c>
      <c r="K540">
        <f t="shared" si="25"/>
        <v>3904</v>
      </c>
      <c r="L540">
        <f t="shared" si="26"/>
        <v>3318.4</v>
      </c>
    </row>
    <row r="541" spans="1:12" x14ac:dyDescent="0.2">
      <c r="A541" t="s">
        <v>472</v>
      </c>
      <c r="B541" s="1">
        <v>46018</v>
      </c>
      <c r="C541" t="s">
        <v>54</v>
      </c>
      <c r="D541" t="s">
        <v>15</v>
      </c>
      <c r="E541" t="s">
        <v>56</v>
      </c>
      <c r="F541">
        <v>335.79</v>
      </c>
      <c r="G541" s="2">
        <f t="shared" si="24"/>
        <v>335.79</v>
      </c>
      <c r="H541">
        <v>2</v>
      </c>
      <c r="I541" s="3">
        <v>0</v>
      </c>
      <c r="J541">
        <v>4</v>
      </c>
      <c r="K541">
        <f t="shared" si="25"/>
        <v>671.58</v>
      </c>
      <c r="L541">
        <f t="shared" si="26"/>
        <v>671.58</v>
      </c>
    </row>
    <row r="542" spans="1:12" x14ac:dyDescent="0.2">
      <c r="A542" t="s">
        <v>647</v>
      </c>
      <c r="B542" s="1">
        <v>45690</v>
      </c>
      <c r="C542" t="s">
        <v>10</v>
      </c>
      <c r="D542" t="s">
        <v>11</v>
      </c>
      <c r="E542" t="s">
        <v>30</v>
      </c>
      <c r="F542">
        <v>1289.08</v>
      </c>
      <c r="G542" s="2">
        <f t="shared" si="24"/>
        <v>1289.08</v>
      </c>
      <c r="H542">
        <v>1</v>
      </c>
      <c r="I542" s="3">
        <v>0.15</v>
      </c>
      <c r="J542">
        <v>3</v>
      </c>
      <c r="K542">
        <f t="shared" si="25"/>
        <v>1289.08</v>
      </c>
      <c r="L542">
        <f t="shared" si="26"/>
        <v>1095.7179999999998</v>
      </c>
    </row>
    <row r="543" spans="1:12" x14ac:dyDescent="0.2">
      <c r="A543" t="s">
        <v>329</v>
      </c>
      <c r="B543" s="1">
        <v>45758</v>
      </c>
      <c r="C543" t="s">
        <v>43</v>
      </c>
      <c r="D543" t="s">
        <v>15</v>
      </c>
      <c r="E543" t="s">
        <v>18</v>
      </c>
      <c r="F543">
        <v>307.72000000000003</v>
      </c>
      <c r="G543" s="2">
        <f t="shared" si="24"/>
        <v>307.72000000000003</v>
      </c>
      <c r="H543">
        <v>10</v>
      </c>
      <c r="I543" s="3">
        <v>0</v>
      </c>
      <c r="J543">
        <v>4</v>
      </c>
      <c r="K543">
        <f t="shared" si="25"/>
        <v>3077.2000000000003</v>
      </c>
      <c r="L543">
        <f t="shared" si="26"/>
        <v>3077.2000000000003</v>
      </c>
    </row>
    <row r="544" spans="1:12" x14ac:dyDescent="0.2">
      <c r="A544" t="s">
        <v>816</v>
      </c>
      <c r="B544" s="1">
        <v>45908</v>
      </c>
      <c r="C544" t="s">
        <v>856</v>
      </c>
      <c r="D544" t="s">
        <v>11</v>
      </c>
      <c r="E544" t="s">
        <v>18</v>
      </c>
      <c r="F544">
        <v>1220.78</v>
      </c>
      <c r="G544" s="2">
        <f t="shared" si="24"/>
        <v>1220.78</v>
      </c>
      <c r="H544">
        <v>3</v>
      </c>
      <c r="I544" s="3">
        <v>0.15</v>
      </c>
      <c r="J544">
        <v>5</v>
      </c>
      <c r="K544">
        <f t="shared" si="25"/>
        <v>3662.34</v>
      </c>
      <c r="L544">
        <f t="shared" si="26"/>
        <v>3112.989</v>
      </c>
    </row>
    <row r="545" spans="1:12" x14ac:dyDescent="0.2">
      <c r="A545" t="s">
        <v>517</v>
      </c>
      <c r="B545" s="1">
        <v>45958</v>
      </c>
      <c r="C545" t="s">
        <v>856</v>
      </c>
      <c r="D545" t="s">
        <v>11</v>
      </c>
      <c r="E545" t="s">
        <v>22</v>
      </c>
      <c r="F545">
        <v>1162.6400000000001</v>
      </c>
      <c r="G545" s="2">
        <f t="shared" si="24"/>
        <v>1162.6400000000001</v>
      </c>
      <c r="H545">
        <v>1</v>
      </c>
      <c r="I545" s="3">
        <v>0</v>
      </c>
      <c r="J545">
        <v>5</v>
      </c>
      <c r="K545">
        <f t="shared" si="25"/>
        <v>1162.6400000000001</v>
      </c>
      <c r="L545">
        <f t="shared" si="26"/>
        <v>1162.6400000000001</v>
      </c>
    </row>
    <row r="546" spans="1:12" x14ac:dyDescent="0.2">
      <c r="A546" t="s">
        <v>123</v>
      </c>
      <c r="B546" s="1">
        <v>45974</v>
      </c>
      <c r="C546" t="s">
        <v>10</v>
      </c>
      <c r="D546" t="s">
        <v>11</v>
      </c>
      <c r="E546" t="s">
        <v>22</v>
      </c>
      <c r="F546">
        <v>1480.27</v>
      </c>
      <c r="G546" s="2">
        <f t="shared" si="24"/>
        <v>1480.27</v>
      </c>
      <c r="H546">
        <v>1</v>
      </c>
      <c r="I546" s="3">
        <v>0.2</v>
      </c>
      <c r="J546">
        <v>4</v>
      </c>
      <c r="K546">
        <f t="shared" si="25"/>
        <v>1480.27</v>
      </c>
      <c r="L546">
        <f t="shared" si="26"/>
        <v>1184.2160000000001</v>
      </c>
    </row>
    <row r="547" spans="1:12" x14ac:dyDescent="0.2">
      <c r="A547" t="s">
        <v>381</v>
      </c>
      <c r="B547" s="1">
        <v>45960</v>
      </c>
      <c r="C547" t="s">
        <v>26</v>
      </c>
      <c r="D547" t="s">
        <v>27</v>
      </c>
      <c r="E547" t="s">
        <v>56</v>
      </c>
      <c r="F547">
        <v>630.53</v>
      </c>
      <c r="G547" s="2">
        <f t="shared" si="24"/>
        <v>630.53</v>
      </c>
      <c r="H547">
        <v>1</v>
      </c>
      <c r="I547" s="3">
        <v>0.2</v>
      </c>
      <c r="J547">
        <v>3</v>
      </c>
      <c r="K547">
        <f t="shared" si="25"/>
        <v>630.53</v>
      </c>
      <c r="L547">
        <f t="shared" si="26"/>
        <v>504.42399999999998</v>
      </c>
    </row>
    <row r="548" spans="1:12" x14ac:dyDescent="0.2">
      <c r="A548" t="s">
        <v>840</v>
      </c>
      <c r="B548" s="1">
        <v>45780</v>
      </c>
      <c r="C548" t="s">
        <v>43</v>
      </c>
      <c r="D548" t="s">
        <v>15</v>
      </c>
      <c r="E548" t="s">
        <v>56</v>
      </c>
      <c r="F548">
        <v>373.63</v>
      </c>
      <c r="G548" s="2">
        <f t="shared" si="24"/>
        <v>373.63</v>
      </c>
      <c r="H548">
        <v>2</v>
      </c>
      <c r="I548" s="3">
        <v>0</v>
      </c>
      <c r="J548">
        <v>3</v>
      </c>
      <c r="K548">
        <f t="shared" si="25"/>
        <v>747.26</v>
      </c>
      <c r="L548">
        <f t="shared" si="26"/>
        <v>747.26</v>
      </c>
    </row>
    <row r="549" spans="1:12" x14ac:dyDescent="0.2">
      <c r="A549" t="s">
        <v>759</v>
      </c>
      <c r="B549" s="1">
        <v>45730</v>
      </c>
      <c r="C549" t="s">
        <v>43</v>
      </c>
      <c r="D549" t="s">
        <v>15</v>
      </c>
      <c r="E549" t="s">
        <v>30</v>
      </c>
      <c r="F549">
        <v>321.17</v>
      </c>
      <c r="G549" s="2">
        <f t="shared" si="24"/>
        <v>321.17</v>
      </c>
      <c r="H549">
        <v>5</v>
      </c>
      <c r="I549" s="3">
        <v>0.1</v>
      </c>
      <c r="J549">
        <v>3</v>
      </c>
      <c r="K549">
        <f t="shared" si="25"/>
        <v>1605.8500000000001</v>
      </c>
      <c r="L549">
        <f t="shared" si="26"/>
        <v>1445.2650000000001</v>
      </c>
    </row>
    <row r="550" spans="1:12" x14ac:dyDescent="0.2">
      <c r="A550" t="s">
        <v>74</v>
      </c>
      <c r="B550" s="1">
        <v>45874</v>
      </c>
      <c r="C550" t="s">
        <v>856</v>
      </c>
      <c r="D550" t="s">
        <v>11</v>
      </c>
      <c r="E550" t="s">
        <v>22</v>
      </c>
      <c r="F550">
        <v>1082.97</v>
      </c>
      <c r="G550" s="2">
        <f t="shared" si="24"/>
        <v>1082.97</v>
      </c>
      <c r="H550">
        <v>1</v>
      </c>
      <c r="I550" s="3">
        <v>0.1</v>
      </c>
      <c r="J550" t="s">
        <v>857</v>
      </c>
      <c r="K550">
        <f t="shared" si="25"/>
        <v>1082.97</v>
      </c>
      <c r="L550">
        <f t="shared" si="26"/>
        <v>974.673</v>
      </c>
    </row>
    <row r="551" spans="1:12" x14ac:dyDescent="0.2">
      <c r="A551" t="s">
        <v>481</v>
      </c>
      <c r="B551" s="1">
        <v>45746</v>
      </c>
      <c r="C551" t="s">
        <v>29</v>
      </c>
      <c r="D551" t="s">
        <v>15</v>
      </c>
      <c r="E551" t="s">
        <v>30</v>
      </c>
      <c r="F551">
        <v>319.72000000000003</v>
      </c>
      <c r="G551" s="2">
        <f t="shared" si="24"/>
        <v>319.72000000000003</v>
      </c>
      <c r="H551">
        <v>1</v>
      </c>
      <c r="I551" s="3">
        <v>0.1</v>
      </c>
      <c r="J551">
        <v>4</v>
      </c>
      <c r="K551">
        <f t="shared" si="25"/>
        <v>319.72000000000003</v>
      </c>
      <c r="L551">
        <f t="shared" si="26"/>
        <v>287.74800000000005</v>
      </c>
    </row>
    <row r="552" spans="1:12" x14ac:dyDescent="0.2">
      <c r="A552" t="s">
        <v>208</v>
      </c>
      <c r="B552" s="1">
        <v>45819</v>
      </c>
      <c r="C552" t="s">
        <v>32</v>
      </c>
      <c r="D552" t="s">
        <v>21</v>
      </c>
      <c r="E552" t="s">
        <v>30</v>
      </c>
      <c r="F552">
        <v>1942</v>
      </c>
      <c r="G552" s="2">
        <f t="shared" si="24"/>
        <v>1942</v>
      </c>
      <c r="H552">
        <v>10</v>
      </c>
      <c r="I552" s="3">
        <v>0.15</v>
      </c>
      <c r="J552">
        <v>1</v>
      </c>
      <c r="K552">
        <f t="shared" si="25"/>
        <v>19420</v>
      </c>
      <c r="L552">
        <f t="shared" si="26"/>
        <v>16507</v>
      </c>
    </row>
    <row r="553" spans="1:12" x14ac:dyDescent="0.2">
      <c r="A553" t="s">
        <v>639</v>
      </c>
      <c r="B553" s="1">
        <v>45662</v>
      </c>
      <c r="C553" t="s">
        <v>10</v>
      </c>
      <c r="D553" t="s">
        <v>11</v>
      </c>
      <c r="E553" t="s">
        <v>18</v>
      </c>
      <c r="F553">
        <v>1098.96</v>
      </c>
      <c r="G553" s="2">
        <f t="shared" si="24"/>
        <v>1098.96</v>
      </c>
      <c r="H553">
        <v>10</v>
      </c>
      <c r="I553" s="3">
        <v>0</v>
      </c>
      <c r="J553">
        <v>4</v>
      </c>
      <c r="K553">
        <f t="shared" si="25"/>
        <v>10989.6</v>
      </c>
      <c r="L553">
        <f t="shared" si="26"/>
        <v>10989.6</v>
      </c>
    </row>
    <row r="554" spans="1:12" x14ac:dyDescent="0.2">
      <c r="A554" t="s">
        <v>677</v>
      </c>
      <c r="B554" s="1">
        <v>45945</v>
      </c>
      <c r="C554" t="s">
        <v>10</v>
      </c>
      <c r="D554" t="s">
        <v>11</v>
      </c>
      <c r="E554" t="s">
        <v>22</v>
      </c>
      <c r="F554">
        <v>1269.55</v>
      </c>
      <c r="G554" s="2">
        <f t="shared" si="24"/>
        <v>1269.55</v>
      </c>
      <c r="H554">
        <v>10</v>
      </c>
      <c r="I554" s="3">
        <v>0.1</v>
      </c>
      <c r="J554">
        <v>5</v>
      </c>
      <c r="K554">
        <f t="shared" si="25"/>
        <v>12695.5</v>
      </c>
      <c r="L554">
        <f t="shared" si="26"/>
        <v>11425.95</v>
      </c>
    </row>
    <row r="555" spans="1:12" x14ac:dyDescent="0.2">
      <c r="A555" t="s">
        <v>633</v>
      </c>
      <c r="B555" s="1">
        <v>45885</v>
      </c>
      <c r="C555" t="s">
        <v>54</v>
      </c>
      <c r="D555" t="s">
        <v>15</v>
      </c>
      <c r="E555" t="s">
        <v>30</v>
      </c>
      <c r="F555">
        <v>495.28</v>
      </c>
      <c r="G555" s="2">
        <f t="shared" si="24"/>
        <v>495.28</v>
      </c>
      <c r="H555">
        <v>10</v>
      </c>
      <c r="I555" s="3">
        <v>0</v>
      </c>
      <c r="J555">
        <v>2</v>
      </c>
      <c r="K555">
        <f t="shared" si="25"/>
        <v>4952.7999999999993</v>
      </c>
      <c r="L555">
        <f t="shared" si="26"/>
        <v>4952.7999999999993</v>
      </c>
    </row>
    <row r="556" spans="1:12" x14ac:dyDescent="0.2">
      <c r="A556" t="s">
        <v>163</v>
      </c>
      <c r="B556" s="1">
        <v>45770</v>
      </c>
      <c r="C556" t="s">
        <v>856</v>
      </c>
      <c r="D556" t="s">
        <v>11</v>
      </c>
      <c r="E556" t="s">
        <v>56</v>
      </c>
      <c r="F556">
        <v>1409.07</v>
      </c>
      <c r="G556" s="2">
        <f t="shared" si="24"/>
        <v>1409.07</v>
      </c>
      <c r="H556">
        <v>2</v>
      </c>
      <c r="I556" s="3">
        <v>0</v>
      </c>
      <c r="J556">
        <v>4</v>
      </c>
      <c r="K556">
        <f t="shared" si="25"/>
        <v>2818.14</v>
      </c>
      <c r="L556">
        <f t="shared" si="26"/>
        <v>2818.14</v>
      </c>
    </row>
    <row r="557" spans="1:12" x14ac:dyDescent="0.2">
      <c r="A557" t="s">
        <v>92</v>
      </c>
      <c r="B557" s="1">
        <v>45805</v>
      </c>
      <c r="C557" t="s">
        <v>32</v>
      </c>
      <c r="D557" t="s">
        <v>21</v>
      </c>
      <c r="E557" t="s">
        <v>56</v>
      </c>
      <c r="F557">
        <v>1682.63</v>
      </c>
      <c r="G557" s="2">
        <f t="shared" si="24"/>
        <v>1682.63</v>
      </c>
      <c r="H557">
        <v>1</v>
      </c>
      <c r="I557" s="3">
        <v>0.1</v>
      </c>
      <c r="J557">
        <v>5</v>
      </c>
      <c r="K557">
        <f t="shared" si="25"/>
        <v>1682.63</v>
      </c>
      <c r="L557">
        <f t="shared" si="26"/>
        <v>1514.3670000000002</v>
      </c>
    </row>
    <row r="558" spans="1:12" x14ac:dyDescent="0.2">
      <c r="A558" t="s">
        <v>359</v>
      </c>
      <c r="B558" s="1">
        <v>45715</v>
      </c>
      <c r="C558" t="s">
        <v>17</v>
      </c>
      <c r="D558" t="s">
        <v>11</v>
      </c>
      <c r="E558" t="s">
        <v>56</v>
      </c>
      <c r="F558">
        <v>1488.29</v>
      </c>
      <c r="G558" s="2">
        <f t="shared" si="24"/>
        <v>1488.29</v>
      </c>
      <c r="H558">
        <v>1</v>
      </c>
      <c r="I558" s="3">
        <v>0</v>
      </c>
      <c r="J558" t="s">
        <v>857</v>
      </c>
      <c r="K558">
        <f t="shared" si="25"/>
        <v>1488.29</v>
      </c>
      <c r="L558">
        <f t="shared" si="26"/>
        <v>1488.29</v>
      </c>
    </row>
    <row r="559" spans="1:12" x14ac:dyDescent="0.2">
      <c r="A559" t="s">
        <v>458</v>
      </c>
      <c r="B559" s="1">
        <v>45935</v>
      </c>
      <c r="C559" t="s">
        <v>10</v>
      </c>
      <c r="D559" t="s">
        <v>11</v>
      </c>
      <c r="E559" t="s">
        <v>18</v>
      </c>
      <c r="F559">
        <v>1102.06</v>
      </c>
      <c r="G559" s="2">
        <f t="shared" si="24"/>
        <v>1102.06</v>
      </c>
      <c r="H559">
        <v>1</v>
      </c>
      <c r="I559" s="3">
        <v>0.2</v>
      </c>
      <c r="J559">
        <v>5</v>
      </c>
      <c r="K559">
        <f t="shared" si="25"/>
        <v>1102.06</v>
      </c>
      <c r="L559">
        <f t="shared" si="26"/>
        <v>881.64800000000002</v>
      </c>
    </row>
    <row r="560" spans="1:12" x14ac:dyDescent="0.2">
      <c r="A560" t="s">
        <v>760</v>
      </c>
      <c r="B560" s="1">
        <v>45875</v>
      </c>
      <c r="C560" t="s">
        <v>17</v>
      </c>
      <c r="D560" t="s">
        <v>11</v>
      </c>
      <c r="E560" t="s">
        <v>30</v>
      </c>
      <c r="F560">
        <v>710.85</v>
      </c>
      <c r="G560" s="2">
        <f t="shared" si="24"/>
        <v>710.85</v>
      </c>
      <c r="H560">
        <v>1</v>
      </c>
      <c r="I560" s="3">
        <v>0.2</v>
      </c>
      <c r="J560">
        <v>4</v>
      </c>
      <c r="K560">
        <f t="shared" si="25"/>
        <v>710.85</v>
      </c>
      <c r="L560">
        <f t="shared" si="26"/>
        <v>568.68000000000006</v>
      </c>
    </row>
    <row r="561" spans="1:12" x14ac:dyDescent="0.2">
      <c r="A561" t="s">
        <v>185</v>
      </c>
      <c r="B561" s="1">
        <v>45674</v>
      </c>
      <c r="C561" t="s">
        <v>43</v>
      </c>
      <c r="D561" t="s">
        <v>15</v>
      </c>
      <c r="E561" t="s">
        <v>18</v>
      </c>
      <c r="F561">
        <v>279.43</v>
      </c>
      <c r="G561" s="2">
        <f t="shared" si="24"/>
        <v>279.43</v>
      </c>
      <c r="H561">
        <v>10</v>
      </c>
      <c r="I561" s="3">
        <v>0</v>
      </c>
      <c r="J561">
        <v>5</v>
      </c>
      <c r="K561">
        <f t="shared" si="25"/>
        <v>2794.3</v>
      </c>
      <c r="L561">
        <f t="shared" si="26"/>
        <v>2794.3</v>
      </c>
    </row>
    <row r="562" spans="1:12" x14ac:dyDescent="0.2">
      <c r="A562" t="s">
        <v>308</v>
      </c>
      <c r="B562" s="1">
        <v>45702</v>
      </c>
      <c r="C562" t="s">
        <v>10</v>
      </c>
      <c r="D562" t="s">
        <v>11</v>
      </c>
      <c r="E562" t="s">
        <v>18</v>
      </c>
      <c r="F562">
        <v>751.01</v>
      </c>
      <c r="G562" s="2">
        <f t="shared" si="24"/>
        <v>751.01</v>
      </c>
      <c r="H562">
        <v>10</v>
      </c>
      <c r="I562" s="3">
        <v>0</v>
      </c>
      <c r="J562">
        <v>4</v>
      </c>
      <c r="K562">
        <f t="shared" si="25"/>
        <v>7510.1</v>
      </c>
      <c r="L562">
        <f t="shared" si="26"/>
        <v>7510.1</v>
      </c>
    </row>
    <row r="563" spans="1:12" x14ac:dyDescent="0.2">
      <c r="A563" t="s">
        <v>413</v>
      </c>
      <c r="B563" s="1">
        <v>45959</v>
      </c>
      <c r="C563" t="s">
        <v>32</v>
      </c>
      <c r="D563" t="s">
        <v>21</v>
      </c>
      <c r="E563" t="s">
        <v>18</v>
      </c>
      <c r="G563" s="2">
        <f t="shared" si="24"/>
        <v>1804.6623913043472</v>
      </c>
      <c r="H563">
        <v>3</v>
      </c>
      <c r="I563" s="3">
        <v>0.2</v>
      </c>
      <c r="J563">
        <v>5</v>
      </c>
      <c r="K563">
        <f t="shared" si="25"/>
        <v>5413.9871739130413</v>
      </c>
      <c r="L563">
        <f t="shared" si="26"/>
        <v>4331.1897391304328</v>
      </c>
    </row>
    <row r="564" spans="1:12" x14ac:dyDescent="0.2">
      <c r="A564" t="s">
        <v>230</v>
      </c>
      <c r="B564" s="1">
        <v>45729</v>
      </c>
      <c r="C564" t="s">
        <v>32</v>
      </c>
      <c r="D564" t="s">
        <v>21</v>
      </c>
      <c r="E564" t="s">
        <v>56</v>
      </c>
      <c r="F564">
        <v>1806.63</v>
      </c>
      <c r="G564" s="2">
        <f t="shared" si="24"/>
        <v>1806.63</v>
      </c>
      <c r="H564">
        <v>2</v>
      </c>
      <c r="I564" s="3">
        <v>0</v>
      </c>
      <c r="J564">
        <v>1</v>
      </c>
      <c r="K564">
        <f t="shared" si="25"/>
        <v>3613.26</v>
      </c>
      <c r="L564">
        <f t="shared" si="26"/>
        <v>3613.26</v>
      </c>
    </row>
    <row r="565" spans="1:12" x14ac:dyDescent="0.2">
      <c r="A565" t="s">
        <v>520</v>
      </c>
      <c r="B565" s="1">
        <v>45930</v>
      </c>
      <c r="C565" t="s">
        <v>856</v>
      </c>
      <c r="D565" t="s">
        <v>11</v>
      </c>
      <c r="E565" t="s">
        <v>18</v>
      </c>
      <c r="F565">
        <v>1602.34</v>
      </c>
      <c r="G565" s="2">
        <f t="shared" si="24"/>
        <v>1602.34</v>
      </c>
      <c r="H565">
        <v>2</v>
      </c>
      <c r="I565" s="3">
        <v>0.15</v>
      </c>
      <c r="J565" t="s">
        <v>857</v>
      </c>
      <c r="K565">
        <f t="shared" si="25"/>
        <v>3204.68</v>
      </c>
      <c r="L565">
        <f t="shared" si="26"/>
        <v>2723.9779999999996</v>
      </c>
    </row>
    <row r="566" spans="1:12" x14ac:dyDescent="0.2">
      <c r="A566" t="s">
        <v>606</v>
      </c>
      <c r="B566" s="1">
        <v>46018</v>
      </c>
      <c r="C566" t="s">
        <v>32</v>
      </c>
      <c r="D566" t="s">
        <v>21</v>
      </c>
      <c r="E566" t="s">
        <v>18</v>
      </c>
      <c r="F566">
        <v>1917.69</v>
      </c>
      <c r="G566" s="2">
        <f t="shared" si="24"/>
        <v>1917.69</v>
      </c>
      <c r="H566">
        <v>2</v>
      </c>
      <c r="I566" s="3">
        <v>0</v>
      </c>
      <c r="J566">
        <v>4</v>
      </c>
      <c r="K566">
        <f t="shared" si="25"/>
        <v>3835.38</v>
      </c>
      <c r="L566">
        <f t="shared" si="26"/>
        <v>3835.38</v>
      </c>
    </row>
    <row r="567" spans="1:12" x14ac:dyDescent="0.2">
      <c r="A567" t="s">
        <v>626</v>
      </c>
      <c r="B567" s="1">
        <v>46005</v>
      </c>
      <c r="C567" t="s">
        <v>10</v>
      </c>
      <c r="D567" t="s">
        <v>11</v>
      </c>
      <c r="E567" t="s">
        <v>56</v>
      </c>
      <c r="F567">
        <v>1147.42</v>
      </c>
      <c r="G567" s="2">
        <f t="shared" si="24"/>
        <v>1147.42</v>
      </c>
      <c r="H567">
        <v>1</v>
      </c>
      <c r="I567" s="3">
        <v>0</v>
      </c>
      <c r="J567">
        <v>5</v>
      </c>
      <c r="K567">
        <f t="shared" si="25"/>
        <v>1147.42</v>
      </c>
      <c r="L567">
        <f t="shared" si="26"/>
        <v>1147.42</v>
      </c>
    </row>
    <row r="568" spans="1:12" x14ac:dyDescent="0.2">
      <c r="A568" t="s">
        <v>98</v>
      </c>
      <c r="B568" s="1">
        <v>45799</v>
      </c>
      <c r="C568" t="s">
        <v>26</v>
      </c>
      <c r="D568" t="s">
        <v>27</v>
      </c>
      <c r="E568" t="s">
        <v>56</v>
      </c>
      <c r="F568">
        <v>699.53</v>
      </c>
      <c r="G568" s="2">
        <f t="shared" si="24"/>
        <v>699.53</v>
      </c>
      <c r="H568">
        <v>1</v>
      </c>
      <c r="I568" s="3">
        <v>0.2</v>
      </c>
      <c r="J568">
        <v>3</v>
      </c>
      <c r="K568">
        <f t="shared" si="25"/>
        <v>699.53</v>
      </c>
      <c r="L568">
        <f t="shared" si="26"/>
        <v>559.62400000000002</v>
      </c>
    </row>
    <row r="569" spans="1:12" x14ac:dyDescent="0.2">
      <c r="A569" t="s">
        <v>699</v>
      </c>
      <c r="B569" s="1">
        <v>46022</v>
      </c>
      <c r="C569" t="s">
        <v>32</v>
      </c>
      <c r="D569" t="s">
        <v>21</v>
      </c>
      <c r="E569" t="s">
        <v>30</v>
      </c>
      <c r="G569" s="2">
        <f t="shared" si="24"/>
        <v>1804.6623913043472</v>
      </c>
      <c r="H569">
        <v>3</v>
      </c>
      <c r="I569" s="3">
        <v>0</v>
      </c>
      <c r="J569">
        <v>5</v>
      </c>
      <c r="K569">
        <f t="shared" si="25"/>
        <v>5413.9871739130413</v>
      </c>
      <c r="L569">
        <f t="shared" si="26"/>
        <v>5413.9871739130413</v>
      </c>
    </row>
    <row r="570" spans="1:12" x14ac:dyDescent="0.2">
      <c r="A570" t="s">
        <v>672</v>
      </c>
      <c r="B570" s="1">
        <v>45953</v>
      </c>
      <c r="C570" t="s">
        <v>14</v>
      </c>
      <c r="D570" t="s">
        <v>15</v>
      </c>
      <c r="E570" t="s">
        <v>30</v>
      </c>
      <c r="F570">
        <v>366.49</v>
      </c>
      <c r="G570" s="2">
        <f t="shared" si="24"/>
        <v>366.49</v>
      </c>
      <c r="H570">
        <v>2</v>
      </c>
      <c r="I570" s="3">
        <v>0.2</v>
      </c>
      <c r="J570">
        <v>5</v>
      </c>
      <c r="K570">
        <f t="shared" si="25"/>
        <v>732.98</v>
      </c>
      <c r="L570">
        <f t="shared" si="26"/>
        <v>586.38400000000001</v>
      </c>
    </row>
    <row r="571" spans="1:12" x14ac:dyDescent="0.2">
      <c r="A571" t="s">
        <v>365</v>
      </c>
      <c r="B571" s="1">
        <v>45696</v>
      </c>
      <c r="C571" t="s">
        <v>54</v>
      </c>
      <c r="D571" t="s">
        <v>15</v>
      </c>
      <c r="E571" t="s">
        <v>22</v>
      </c>
      <c r="F571">
        <v>403.96</v>
      </c>
      <c r="G571" s="2">
        <f t="shared" si="24"/>
        <v>403.96</v>
      </c>
      <c r="H571">
        <v>1</v>
      </c>
      <c r="I571" s="3">
        <v>0.1</v>
      </c>
      <c r="J571" t="s">
        <v>857</v>
      </c>
      <c r="K571">
        <f t="shared" si="25"/>
        <v>403.96</v>
      </c>
      <c r="L571">
        <f t="shared" si="26"/>
        <v>363.56399999999996</v>
      </c>
    </row>
    <row r="572" spans="1:12" x14ac:dyDescent="0.2">
      <c r="A572" t="s">
        <v>598</v>
      </c>
      <c r="B572" s="1">
        <v>46013</v>
      </c>
      <c r="C572" t="s">
        <v>29</v>
      </c>
      <c r="D572" t="s">
        <v>15</v>
      </c>
      <c r="E572" t="s">
        <v>18</v>
      </c>
      <c r="F572">
        <v>246.5</v>
      </c>
      <c r="G572" s="2">
        <f t="shared" si="24"/>
        <v>246.5</v>
      </c>
      <c r="H572">
        <v>3</v>
      </c>
      <c r="I572" s="3">
        <v>0.1</v>
      </c>
      <c r="J572">
        <v>5</v>
      </c>
      <c r="K572">
        <f t="shared" si="25"/>
        <v>739.5</v>
      </c>
      <c r="L572">
        <f t="shared" si="26"/>
        <v>665.55000000000007</v>
      </c>
    </row>
    <row r="573" spans="1:12" x14ac:dyDescent="0.2">
      <c r="A573" t="s">
        <v>851</v>
      </c>
      <c r="B573" s="1">
        <v>45659</v>
      </c>
      <c r="C573" t="s">
        <v>43</v>
      </c>
      <c r="D573" t="s">
        <v>15</v>
      </c>
      <c r="E573" t="s">
        <v>56</v>
      </c>
      <c r="F573">
        <v>430.06</v>
      </c>
      <c r="G573" s="2">
        <f t="shared" si="24"/>
        <v>430.06</v>
      </c>
      <c r="H573">
        <v>1</v>
      </c>
      <c r="I573" s="3">
        <v>0.2</v>
      </c>
      <c r="J573">
        <v>5</v>
      </c>
      <c r="K573">
        <f t="shared" si="25"/>
        <v>430.06</v>
      </c>
      <c r="L573">
        <f t="shared" si="26"/>
        <v>344.048</v>
      </c>
    </row>
    <row r="574" spans="1:12" x14ac:dyDescent="0.2">
      <c r="A574" t="s">
        <v>169</v>
      </c>
      <c r="B574" s="1">
        <v>46015</v>
      </c>
      <c r="C574" t="s">
        <v>856</v>
      </c>
      <c r="D574" t="s">
        <v>11</v>
      </c>
      <c r="E574" t="s">
        <v>30</v>
      </c>
      <c r="F574">
        <v>1281.24</v>
      </c>
      <c r="G574" s="2">
        <f t="shared" si="24"/>
        <v>1281.24</v>
      </c>
      <c r="H574">
        <v>3</v>
      </c>
      <c r="I574" s="3">
        <v>0</v>
      </c>
      <c r="J574" t="s">
        <v>857</v>
      </c>
      <c r="K574">
        <f t="shared" si="25"/>
        <v>3843.7200000000003</v>
      </c>
      <c r="L574">
        <f t="shared" si="26"/>
        <v>3843.7200000000003</v>
      </c>
    </row>
    <row r="575" spans="1:12" x14ac:dyDescent="0.2">
      <c r="A575" t="s">
        <v>604</v>
      </c>
      <c r="B575" s="1">
        <v>45877</v>
      </c>
      <c r="C575" t="s">
        <v>54</v>
      </c>
      <c r="D575" t="s">
        <v>15</v>
      </c>
      <c r="E575" t="s">
        <v>30</v>
      </c>
      <c r="F575">
        <v>320.93</v>
      </c>
      <c r="G575" s="2">
        <f t="shared" si="24"/>
        <v>320.93</v>
      </c>
      <c r="H575">
        <v>2</v>
      </c>
      <c r="I575" s="3">
        <v>0.1</v>
      </c>
      <c r="J575">
        <v>4</v>
      </c>
      <c r="K575">
        <f t="shared" si="25"/>
        <v>641.86</v>
      </c>
      <c r="L575">
        <f t="shared" si="26"/>
        <v>577.67399999999998</v>
      </c>
    </row>
    <row r="576" spans="1:12" x14ac:dyDescent="0.2">
      <c r="A576" t="s">
        <v>60</v>
      </c>
      <c r="B576" s="1">
        <v>45803</v>
      </c>
      <c r="C576" t="s">
        <v>43</v>
      </c>
      <c r="D576" t="s">
        <v>15</v>
      </c>
      <c r="E576" t="s">
        <v>18</v>
      </c>
      <c r="F576">
        <v>394.29</v>
      </c>
      <c r="G576" s="2">
        <f t="shared" si="24"/>
        <v>394.29</v>
      </c>
      <c r="H576">
        <v>3</v>
      </c>
      <c r="I576" s="3">
        <v>0.15</v>
      </c>
      <c r="J576">
        <v>3</v>
      </c>
      <c r="K576">
        <f t="shared" si="25"/>
        <v>1182.8700000000001</v>
      </c>
      <c r="L576">
        <f t="shared" si="26"/>
        <v>1005.4395000000001</v>
      </c>
    </row>
    <row r="577" spans="1:12" x14ac:dyDescent="0.2">
      <c r="A577" t="s">
        <v>804</v>
      </c>
      <c r="B577" s="1">
        <v>45906</v>
      </c>
      <c r="C577" t="s">
        <v>856</v>
      </c>
      <c r="D577" t="s">
        <v>11</v>
      </c>
      <c r="E577" t="s">
        <v>18</v>
      </c>
      <c r="F577">
        <v>1744.97</v>
      </c>
      <c r="G577" s="2">
        <f t="shared" si="24"/>
        <v>1744.97</v>
      </c>
      <c r="H577">
        <v>3</v>
      </c>
      <c r="I577" s="3">
        <v>0.2</v>
      </c>
      <c r="J577">
        <v>1</v>
      </c>
      <c r="K577">
        <f t="shared" si="25"/>
        <v>5234.91</v>
      </c>
      <c r="L577">
        <f t="shared" si="26"/>
        <v>4187.9279999999999</v>
      </c>
    </row>
    <row r="578" spans="1:12" x14ac:dyDescent="0.2">
      <c r="A578" t="s">
        <v>844</v>
      </c>
      <c r="B578" s="1">
        <v>45978</v>
      </c>
      <c r="C578" t="s">
        <v>34</v>
      </c>
      <c r="D578" t="s">
        <v>11</v>
      </c>
      <c r="E578" t="s">
        <v>56</v>
      </c>
      <c r="F578">
        <v>1243.6500000000001</v>
      </c>
      <c r="G578" s="2">
        <f t="shared" ref="G578:G641" si="27">IF(F578="", AVERAGEIF(C:C, C578, F:F), F578)</f>
        <v>1243.6500000000001</v>
      </c>
      <c r="H578">
        <v>10</v>
      </c>
      <c r="I578" s="3">
        <v>0</v>
      </c>
      <c r="J578">
        <v>2</v>
      </c>
      <c r="K578">
        <f t="shared" si="25"/>
        <v>12436.5</v>
      </c>
      <c r="L578">
        <f t="shared" si="26"/>
        <v>12436.5</v>
      </c>
    </row>
    <row r="579" spans="1:12" x14ac:dyDescent="0.2">
      <c r="A579" t="s">
        <v>171</v>
      </c>
      <c r="B579" s="1">
        <v>45738</v>
      </c>
      <c r="C579" t="s">
        <v>26</v>
      </c>
      <c r="D579" t="s">
        <v>27</v>
      </c>
      <c r="E579" t="s">
        <v>18</v>
      </c>
      <c r="F579">
        <v>629.79</v>
      </c>
      <c r="G579" s="2">
        <f t="shared" si="27"/>
        <v>629.79</v>
      </c>
      <c r="H579">
        <v>10</v>
      </c>
      <c r="I579" s="3">
        <v>0.1</v>
      </c>
      <c r="J579">
        <v>1</v>
      </c>
      <c r="K579">
        <f t="shared" ref="K579:K642" si="28">G579*H579</f>
        <v>6297.9</v>
      </c>
      <c r="L579">
        <f t="shared" ref="L579:L642" si="29">G579*H579*(1-I579)</f>
        <v>5668.11</v>
      </c>
    </row>
    <row r="580" spans="1:12" x14ac:dyDescent="0.2">
      <c r="A580" t="s">
        <v>137</v>
      </c>
      <c r="B580" s="1">
        <v>46010</v>
      </c>
      <c r="C580" t="s">
        <v>54</v>
      </c>
      <c r="D580" t="s">
        <v>15</v>
      </c>
      <c r="E580" t="s">
        <v>30</v>
      </c>
      <c r="F580">
        <v>317.83999999999997</v>
      </c>
      <c r="G580" s="2">
        <f t="shared" si="27"/>
        <v>317.83999999999997</v>
      </c>
      <c r="H580">
        <v>1</v>
      </c>
      <c r="I580" s="3">
        <v>0.2</v>
      </c>
      <c r="J580">
        <v>4</v>
      </c>
      <c r="K580">
        <f t="shared" si="28"/>
        <v>317.83999999999997</v>
      </c>
      <c r="L580">
        <f t="shared" si="29"/>
        <v>254.27199999999999</v>
      </c>
    </row>
    <row r="581" spans="1:12" x14ac:dyDescent="0.2">
      <c r="A581" t="s">
        <v>494</v>
      </c>
      <c r="B581" s="1">
        <v>45798</v>
      </c>
      <c r="C581" t="s">
        <v>32</v>
      </c>
      <c r="D581" t="s">
        <v>21</v>
      </c>
      <c r="E581" t="s">
        <v>18</v>
      </c>
      <c r="F581">
        <v>1494.06</v>
      </c>
      <c r="G581" s="2">
        <f t="shared" si="27"/>
        <v>1494.06</v>
      </c>
      <c r="H581">
        <v>1</v>
      </c>
      <c r="I581" s="3">
        <v>0.2</v>
      </c>
      <c r="J581">
        <v>5</v>
      </c>
      <c r="K581">
        <f t="shared" si="28"/>
        <v>1494.06</v>
      </c>
      <c r="L581">
        <f t="shared" si="29"/>
        <v>1195.248</v>
      </c>
    </row>
    <row r="582" spans="1:12" x14ac:dyDescent="0.2">
      <c r="A582" t="s">
        <v>713</v>
      </c>
      <c r="B582" s="1">
        <v>45848</v>
      </c>
      <c r="C582" t="s">
        <v>43</v>
      </c>
      <c r="D582" t="s">
        <v>15</v>
      </c>
      <c r="E582" t="s">
        <v>56</v>
      </c>
      <c r="F582">
        <v>408.12</v>
      </c>
      <c r="G582" s="2">
        <f t="shared" si="27"/>
        <v>408.12</v>
      </c>
      <c r="H582">
        <v>1</v>
      </c>
      <c r="I582" s="3">
        <v>0</v>
      </c>
      <c r="J582">
        <v>5</v>
      </c>
      <c r="K582">
        <f t="shared" si="28"/>
        <v>408.12</v>
      </c>
      <c r="L582">
        <f t="shared" si="29"/>
        <v>408.12</v>
      </c>
    </row>
    <row r="583" spans="1:12" x14ac:dyDescent="0.2">
      <c r="A583" t="s">
        <v>696</v>
      </c>
      <c r="B583" s="1">
        <v>46016</v>
      </c>
      <c r="C583" t="s">
        <v>856</v>
      </c>
      <c r="D583" t="s">
        <v>11</v>
      </c>
      <c r="E583" t="s">
        <v>18</v>
      </c>
      <c r="F583">
        <v>994.54</v>
      </c>
      <c r="G583" s="2">
        <f t="shared" si="27"/>
        <v>994.54</v>
      </c>
      <c r="H583">
        <v>2</v>
      </c>
      <c r="I583" s="3">
        <v>0.1</v>
      </c>
      <c r="J583">
        <v>2</v>
      </c>
      <c r="K583">
        <f t="shared" si="28"/>
        <v>1989.08</v>
      </c>
      <c r="L583">
        <f t="shared" si="29"/>
        <v>1790.172</v>
      </c>
    </row>
    <row r="584" spans="1:12" x14ac:dyDescent="0.2">
      <c r="A584" t="s">
        <v>508</v>
      </c>
      <c r="B584" s="1">
        <v>45658</v>
      </c>
      <c r="C584" t="s">
        <v>29</v>
      </c>
      <c r="D584" t="s">
        <v>15</v>
      </c>
      <c r="E584" t="s">
        <v>56</v>
      </c>
      <c r="G584" s="2">
        <f t="shared" si="27"/>
        <v>336.57634615384626</v>
      </c>
      <c r="H584">
        <v>2</v>
      </c>
      <c r="I584" s="3">
        <v>0.1</v>
      </c>
      <c r="J584">
        <v>2</v>
      </c>
      <c r="K584">
        <f t="shared" si="28"/>
        <v>673.15269230769252</v>
      </c>
      <c r="L584">
        <f t="shared" si="29"/>
        <v>605.8374230769233</v>
      </c>
    </row>
    <row r="585" spans="1:12" x14ac:dyDescent="0.2">
      <c r="A585" t="s">
        <v>363</v>
      </c>
      <c r="B585" s="1">
        <v>45773</v>
      </c>
      <c r="C585" t="s">
        <v>32</v>
      </c>
      <c r="D585" t="s">
        <v>21</v>
      </c>
      <c r="E585" t="s">
        <v>56</v>
      </c>
      <c r="F585">
        <v>1628.04</v>
      </c>
      <c r="G585" s="2">
        <f t="shared" si="27"/>
        <v>1628.04</v>
      </c>
      <c r="H585">
        <v>10</v>
      </c>
      <c r="I585" s="3">
        <v>0</v>
      </c>
      <c r="J585">
        <v>1</v>
      </c>
      <c r="K585">
        <f t="shared" si="28"/>
        <v>16280.4</v>
      </c>
      <c r="L585">
        <f t="shared" si="29"/>
        <v>16280.4</v>
      </c>
    </row>
    <row r="586" spans="1:12" x14ac:dyDescent="0.2">
      <c r="A586" t="s">
        <v>177</v>
      </c>
      <c r="B586" s="1">
        <v>45719</v>
      </c>
      <c r="C586" t="s">
        <v>29</v>
      </c>
      <c r="D586" t="s">
        <v>15</v>
      </c>
      <c r="E586" t="s">
        <v>18</v>
      </c>
      <c r="F586">
        <v>383.53</v>
      </c>
      <c r="G586" s="2">
        <f t="shared" si="27"/>
        <v>383.53</v>
      </c>
      <c r="H586">
        <v>5</v>
      </c>
      <c r="I586" s="3">
        <v>0.2</v>
      </c>
      <c r="J586">
        <v>3</v>
      </c>
      <c r="K586">
        <f t="shared" si="28"/>
        <v>1917.6499999999999</v>
      </c>
      <c r="L586">
        <f t="shared" si="29"/>
        <v>1534.12</v>
      </c>
    </row>
    <row r="587" spans="1:12" x14ac:dyDescent="0.2">
      <c r="A587" t="s">
        <v>543</v>
      </c>
      <c r="B587" s="1">
        <v>45775</v>
      </c>
      <c r="C587" t="s">
        <v>14</v>
      </c>
      <c r="D587" t="s">
        <v>15</v>
      </c>
      <c r="E587" t="s">
        <v>56</v>
      </c>
      <c r="F587">
        <v>373.36</v>
      </c>
      <c r="G587" s="2">
        <f t="shared" si="27"/>
        <v>373.36</v>
      </c>
      <c r="H587">
        <v>5</v>
      </c>
      <c r="I587" s="3">
        <v>0</v>
      </c>
      <c r="J587">
        <v>2</v>
      </c>
      <c r="K587">
        <f t="shared" si="28"/>
        <v>1866.8000000000002</v>
      </c>
      <c r="L587">
        <f t="shared" si="29"/>
        <v>1866.8000000000002</v>
      </c>
    </row>
    <row r="588" spans="1:12" x14ac:dyDescent="0.2">
      <c r="A588" t="s">
        <v>274</v>
      </c>
      <c r="B588" s="1">
        <v>45846</v>
      </c>
      <c r="C588" t="s">
        <v>34</v>
      </c>
      <c r="D588" t="s">
        <v>11</v>
      </c>
      <c r="E588" t="s">
        <v>18</v>
      </c>
      <c r="F588">
        <v>1449.01</v>
      </c>
      <c r="G588" s="2">
        <f t="shared" si="27"/>
        <v>1449.01</v>
      </c>
      <c r="H588">
        <v>2</v>
      </c>
      <c r="I588" s="3">
        <v>0</v>
      </c>
      <c r="J588">
        <v>5</v>
      </c>
      <c r="K588">
        <f t="shared" si="28"/>
        <v>2898.02</v>
      </c>
      <c r="L588">
        <f t="shared" si="29"/>
        <v>2898.02</v>
      </c>
    </row>
    <row r="589" spans="1:12" x14ac:dyDescent="0.2">
      <c r="A589" t="s">
        <v>9</v>
      </c>
      <c r="B589" s="1">
        <v>45726</v>
      </c>
      <c r="C589" t="s">
        <v>10</v>
      </c>
      <c r="D589" t="s">
        <v>11</v>
      </c>
      <c r="E589" t="s">
        <v>18</v>
      </c>
      <c r="F589">
        <v>1077.5999999999999</v>
      </c>
      <c r="G589" s="2">
        <f t="shared" si="27"/>
        <v>1077.5999999999999</v>
      </c>
      <c r="H589">
        <v>1</v>
      </c>
      <c r="I589" s="3">
        <v>0</v>
      </c>
      <c r="J589" t="s">
        <v>857</v>
      </c>
      <c r="K589">
        <f t="shared" si="28"/>
        <v>1077.5999999999999</v>
      </c>
      <c r="L589">
        <f t="shared" si="29"/>
        <v>1077.5999999999999</v>
      </c>
    </row>
    <row r="590" spans="1:12" x14ac:dyDescent="0.2">
      <c r="A590" t="s">
        <v>156</v>
      </c>
      <c r="B590" s="1">
        <v>45970</v>
      </c>
      <c r="C590" t="s">
        <v>856</v>
      </c>
      <c r="D590" t="s">
        <v>11</v>
      </c>
      <c r="E590" t="s">
        <v>56</v>
      </c>
      <c r="F590">
        <v>1135.23</v>
      </c>
      <c r="G590" s="2">
        <f t="shared" si="27"/>
        <v>1135.23</v>
      </c>
      <c r="H590">
        <v>1</v>
      </c>
      <c r="I590" s="3">
        <v>0.1</v>
      </c>
      <c r="J590">
        <v>5</v>
      </c>
      <c r="K590">
        <f t="shared" si="28"/>
        <v>1135.23</v>
      </c>
      <c r="L590">
        <f t="shared" si="29"/>
        <v>1021.707</v>
      </c>
    </row>
    <row r="591" spans="1:12" x14ac:dyDescent="0.2">
      <c r="A591" t="s">
        <v>45</v>
      </c>
      <c r="B591" s="1">
        <v>45979</v>
      </c>
      <c r="C591" t="s">
        <v>29</v>
      </c>
      <c r="D591" t="s">
        <v>15</v>
      </c>
      <c r="E591" t="s">
        <v>30</v>
      </c>
      <c r="G591" s="2">
        <f t="shared" si="27"/>
        <v>336.57634615384626</v>
      </c>
      <c r="H591">
        <v>1</v>
      </c>
      <c r="I591" s="3">
        <v>0.1</v>
      </c>
      <c r="J591">
        <v>5</v>
      </c>
      <c r="K591">
        <f t="shared" si="28"/>
        <v>336.57634615384626</v>
      </c>
      <c r="L591">
        <f t="shared" si="29"/>
        <v>302.91871153846165</v>
      </c>
    </row>
    <row r="592" spans="1:12" x14ac:dyDescent="0.2">
      <c r="A592" t="s">
        <v>469</v>
      </c>
      <c r="B592" s="1">
        <v>45702</v>
      </c>
      <c r="C592" t="s">
        <v>10</v>
      </c>
      <c r="D592" t="s">
        <v>11</v>
      </c>
      <c r="E592" t="s">
        <v>30</v>
      </c>
      <c r="F592">
        <v>1093.3699999999999</v>
      </c>
      <c r="G592" s="2">
        <f t="shared" si="27"/>
        <v>1093.3699999999999</v>
      </c>
      <c r="H592">
        <v>1</v>
      </c>
      <c r="I592" s="3">
        <v>0</v>
      </c>
      <c r="J592">
        <v>2</v>
      </c>
      <c r="K592">
        <f t="shared" si="28"/>
        <v>1093.3699999999999</v>
      </c>
      <c r="L592">
        <f t="shared" si="29"/>
        <v>1093.3699999999999</v>
      </c>
    </row>
    <row r="593" spans="1:12" x14ac:dyDescent="0.2">
      <c r="A593" t="s">
        <v>717</v>
      </c>
      <c r="B593" s="1">
        <v>45854</v>
      </c>
      <c r="C593" t="s">
        <v>856</v>
      </c>
      <c r="D593" t="s">
        <v>11</v>
      </c>
      <c r="E593" t="s">
        <v>30</v>
      </c>
      <c r="F593">
        <v>1290.55</v>
      </c>
      <c r="G593" s="2">
        <f t="shared" si="27"/>
        <v>1290.55</v>
      </c>
      <c r="H593">
        <v>3</v>
      </c>
      <c r="I593" s="3">
        <v>0.1</v>
      </c>
      <c r="J593">
        <v>5</v>
      </c>
      <c r="K593">
        <f t="shared" si="28"/>
        <v>3871.6499999999996</v>
      </c>
      <c r="L593">
        <f t="shared" si="29"/>
        <v>3484.4849999999997</v>
      </c>
    </row>
    <row r="594" spans="1:12" x14ac:dyDescent="0.2">
      <c r="A594" t="s">
        <v>222</v>
      </c>
      <c r="B594" s="1">
        <v>45784</v>
      </c>
      <c r="C594" t="s">
        <v>10</v>
      </c>
      <c r="D594" t="s">
        <v>11</v>
      </c>
      <c r="E594" t="s">
        <v>30</v>
      </c>
      <c r="F594">
        <v>1381.68</v>
      </c>
      <c r="G594" s="2">
        <f t="shared" si="27"/>
        <v>1381.68</v>
      </c>
      <c r="H594">
        <v>2</v>
      </c>
      <c r="I594" s="3">
        <v>0.2</v>
      </c>
      <c r="J594">
        <v>2</v>
      </c>
      <c r="K594">
        <f t="shared" si="28"/>
        <v>2763.36</v>
      </c>
      <c r="L594">
        <f t="shared" si="29"/>
        <v>2210.6880000000001</v>
      </c>
    </row>
    <row r="595" spans="1:12" x14ac:dyDescent="0.2">
      <c r="A595" t="s">
        <v>460</v>
      </c>
      <c r="B595" s="1">
        <v>45965</v>
      </c>
      <c r="C595" t="s">
        <v>32</v>
      </c>
      <c r="D595" t="s">
        <v>21</v>
      </c>
      <c r="E595" t="s">
        <v>56</v>
      </c>
      <c r="F595">
        <v>1468.02</v>
      </c>
      <c r="G595" s="2">
        <f t="shared" si="27"/>
        <v>1468.02</v>
      </c>
      <c r="H595">
        <v>2</v>
      </c>
      <c r="I595" s="3">
        <v>0.2</v>
      </c>
      <c r="J595">
        <v>1</v>
      </c>
      <c r="K595">
        <f t="shared" si="28"/>
        <v>2936.04</v>
      </c>
      <c r="L595">
        <f t="shared" si="29"/>
        <v>2348.8319999999999</v>
      </c>
    </row>
    <row r="596" spans="1:12" x14ac:dyDescent="0.2">
      <c r="A596" t="s">
        <v>350</v>
      </c>
      <c r="B596" s="1">
        <v>45995</v>
      </c>
      <c r="C596" t="s">
        <v>10</v>
      </c>
      <c r="D596" t="s">
        <v>11</v>
      </c>
      <c r="E596" t="s">
        <v>18</v>
      </c>
      <c r="F596">
        <v>1408.71</v>
      </c>
      <c r="G596" s="2">
        <f t="shared" si="27"/>
        <v>1408.71</v>
      </c>
      <c r="H596">
        <v>2</v>
      </c>
      <c r="I596" s="3">
        <v>0</v>
      </c>
      <c r="J596" t="s">
        <v>857</v>
      </c>
      <c r="K596">
        <f t="shared" si="28"/>
        <v>2817.42</v>
      </c>
      <c r="L596">
        <f t="shared" si="29"/>
        <v>2817.42</v>
      </c>
    </row>
    <row r="597" spans="1:12" x14ac:dyDescent="0.2">
      <c r="A597" t="s">
        <v>492</v>
      </c>
      <c r="B597" s="1">
        <v>45754</v>
      </c>
      <c r="C597" t="s">
        <v>856</v>
      </c>
      <c r="D597" t="s">
        <v>11</v>
      </c>
      <c r="E597" t="s">
        <v>56</v>
      </c>
      <c r="F597">
        <v>1525.35</v>
      </c>
      <c r="G597" s="2">
        <f t="shared" si="27"/>
        <v>1525.35</v>
      </c>
      <c r="H597">
        <v>5</v>
      </c>
      <c r="I597" s="3">
        <v>0</v>
      </c>
      <c r="J597">
        <v>1</v>
      </c>
      <c r="K597">
        <f t="shared" si="28"/>
        <v>7626.75</v>
      </c>
      <c r="L597">
        <f t="shared" si="29"/>
        <v>7626.75</v>
      </c>
    </row>
    <row r="598" spans="1:12" x14ac:dyDescent="0.2">
      <c r="A598" t="s">
        <v>805</v>
      </c>
      <c r="B598" s="1">
        <v>45780</v>
      </c>
      <c r="C598" t="s">
        <v>10</v>
      </c>
      <c r="D598" t="s">
        <v>11</v>
      </c>
      <c r="E598" t="s">
        <v>18</v>
      </c>
      <c r="F598">
        <v>1299.22</v>
      </c>
      <c r="G598" s="2">
        <f t="shared" si="27"/>
        <v>1299.22</v>
      </c>
      <c r="H598">
        <v>10</v>
      </c>
      <c r="I598" s="3">
        <v>0.1</v>
      </c>
      <c r="J598">
        <v>2</v>
      </c>
      <c r="K598">
        <f t="shared" si="28"/>
        <v>12992.2</v>
      </c>
      <c r="L598">
        <f t="shared" si="29"/>
        <v>11692.980000000001</v>
      </c>
    </row>
    <row r="599" spans="1:12" x14ac:dyDescent="0.2">
      <c r="A599" t="s">
        <v>531</v>
      </c>
      <c r="B599" s="1">
        <v>45984</v>
      </c>
      <c r="C599" t="s">
        <v>32</v>
      </c>
      <c r="D599" t="s">
        <v>21</v>
      </c>
      <c r="E599" t="s">
        <v>22</v>
      </c>
      <c r="F599">
        <v>2475.65</v>
      </c>
      <c r="G599" s="2">
        <f t="shared" si="27"/>
        <v>2475.65</v>
      </c>
      <c r="H599">
        <v>1</v>
      </c>
      <c r="I599" s="3">
        <v>0.15</v>
      </c>
      <c r="J599">
        <v>1</v>
      </c>
      <c r="K599">
        <f t="shared" si="28"/>
        <v>2475.65</v>
      </c>
      <c r="L599">
        <f t="shared" si="29"/>
        <v>2104.3025000000002</v>
      </c>
    </row>
    <row r="600" spans="1:12" x14ac:dyDescent="0.2">
      <c r="A600" t="s">
        <v>432</v>
      </c>
      <c r="B600" s="1">
        <v>45725</v>
      </c>
      <c r="C600" t="s">
        <v>43</v>
      </c>
      <c r="D600" t="s">
        <v>15</v>
      </c>
      <c r="E600" t="s">
        <v>18</v>
      </c>
      <c r="F600">
        <v>295.83</v>
      </c>
      <c r="G600" s="2">
        <f t="shared" si="27"/>
        <v>295.83</v>
      </c>
      <c r="H600">
        <v>5</v>
      </c>
      <c r="I600" s="3">
        <v>0.15</v>
      </c>
      <c r="J600">
        <v>5</v>
      </c>
      <c r="K600">
        <f t="shared" si="28"/>
        <v>1479.1499999999999</v>
      </c>
      <c r="L600">
        <f t="shared" si="29"/>
        <v>1257.2774999999999</v>
      </c>
    </row>
    <row r="601" spans="1:12" x14ac:dyDescent="0.2">
      <c r="A601" t="s">
        <v>418</v>
      </c>
      <c r="B601" s="1">
        <v>46007</v>
      </c>
      <c r="C601" t="s">
        <v>43</v>
      </c>
      <c r="D601" t="s">
        <v>15</v>
      </c>
      <c r="E601" t="s">
        <v>56</v>
      </c>
      <c r="F601">
        <v>262.87</v>
      </c>
      <c r="G601" s="2">
        <f t="shared" si="27"/>
        <v>262.87</v>
      </c>
      <c r="H601">
        <v>1</v>
      </c>
      <c r="I601" s="3">
        <v>0.1</v>
      </c>
      <c r="J601">
        <v>2</v>
      </c>
      <c r="K601">
        <f t="shared" si="28"/>
        <v>262.87</v>
      </c>
      <c r="L601">
        <f t="shared" si="29"/>
        <v>236.583</v>
      </c>
    </row>
    <row r="602" spans="1:12" x14ac:dyDescent="0.2">
      <c r="A602" t="s">
        <v>360</v>
      </c>
      <c r="B602" s="1">
        <v>45692</v>
      </c>
      <c r="C602" t="s">
        <v>34</v>
      </c>
      <c r="D602" t="s">
        <v>11</v>
      </c>
      <c r="E602" t="s">
        <v>56</v>
      </c>
      <c r="F602">
        <v>773.11</v>
      </c>
      <c r="G602" s="2">
        <f t="shared" si="27"/>
        <v>773.11</v>
      </c>
      <c r="H602">
        <v>1</v>
      </c>
      <c r="I602" s="3">
        <v>0</v>
      </c>
      <c r="J602">
        <v>4</v>
      </c>
      <c r="K602">
        <f t="shared" si="28"/>
        <v>773.11</v>
      </c>
      <c r="L602">
        <f t="shared" si="29"/>
        <v>773.11</v>
      </c>
    </row>
    <row r="603" spans="1:12" x14ac:dyDescent="0.2">
      <c r="A603" t="s">
        <v>624</v>
      </c>
      <c r="B603" s="1">
        <v>45861</v>
      </c>
      <c r="C603" t="s">
        <v>34</v>
      </c>
      <c r="D603" t="s">
        <v>11</v>
      </c>
      <c r="E603" t="s">
        <v>56</v>
      </c>
      <c r="F603">
        <v>1559.05</v>
      </c>
      <c r="G603" s="2">
        <f t="shared" si="27"/>
        <v>1559.05</v>
      </c>
      <c r="H603">
        <v>2</v>
      </c>
      <c r="I603" s="3">
        <v>0.2</v>
      </c>
      <c r="J603" t="s">
        <v>857</v>
      </c>
      <c r="K603">
        <f t="shared" si="28"/>
        <v>3118.1</v>
      </c>
      <c r="L603">
        <f t="shared" si="29"/>
        <v>2494.48</v>
      </c>
    </row>
    <row r="604" spans="1:12" x14ac:dyDescent="0.2">
      <c r="A604" t="s">
        <v>57</v>
      </c>
      <c r="B604" s="1">
        <v>45874</v>
      </c>
      <c r="C604" t="s">
        <v>10</v>
      </c>
      <c r="D604" t="s">
        <v>11</v>
      </c>
      <c r="E604" t="s">
        <v>22</v>
      </c>
      <c r="F604">
        <v>1357.05</v>
      </c>
      <c r="G604" s="2">
        <f t="shared" si="27"/>
        <v>1357.05</v>
      </c>
      <c r="H604">
        <v>5</v>
      </c>
      <c r="I604" s="3">
        <v>0</v>
      </c>
      <c r="J604" t="s">
        <v>857</v>
      </c>
      <c r="K604">
        <f t="shared" si="28"/>
        <v>6785.25</v>
      </c>
      <c r="L604">
        <f t="shared" si="29"/>
        <v>6785.25</v>
      </c>
    </row>
    <row r="605" spans="1:12" x14ac:dyDescent="0.2">
      <c r="A605" t="s">
        <v>316</v>
      </c>
      <c r="B605" s="1">
        <v>45736</v>
      </c>
      <c r="C605" t="s">
        <v>17</v>
      </c>
      <c r="D605" t="s">
        <v>11</v>
      </c>
      <c r="E605" t="s">
        <v>56</v>
      </c>
      <c r="G605" s="2">
        <f t="shared" si="27"/>
        <v>1177.5582978723407</v>
      </c>
      <c r="H605">
        <v>2</v>
      </c>
      <c r="I605" s="3">
        <v>0</v>
      </c>
      <c r="J605">
        <v>4</v>
      </c>
      <c r="K605">
        <f t="shared" si="28"/>
        <v>2355.1165957446815</v>
      </c>
      <c r="L605">
        <f t="shared" si="29"/>
        <v>2355.1165957446815</v>
      </c>
    </row>
    <row r="606" spans="1:12" x14ac:dyDescent="0.2">
      <c r="A606" t="s">
        <v>664</v>
      </c>
      <c r="B606" s="1">
        <v>45762</v>
      </c>
      <c r="C606" t="s">
        <v>34</v>
      </c>
      <c r="D606" t="s">
        <v>11</v>
      </c>
      <c r="E606" t="s">
        <v>56</v>
      </c>
      <c r="F606">
        <v>1267.19</v>
      </c>
      <c r="G606" s="2">
        <f t="shared" si="27"/>
        <v>1267.19</v>
      </c>
      <c r="H606">
        <v>1</v>
      </c>
      <c r="I606" s="3">
        <v>0.15</v>
      </c>
      <c r="J606">
        <v>5</v>
      </c>
      <c r="K606">
        <f t="shared" si="28"/>
        <v>1267.19</v>
      </c>
      <c r="L606">
        <f t="shared" si="29"/>
        <v>1077.1115</v>
      </c>
    </row>
    <row r="607" spans="1:12" x14ac:dyDescent="0.2">
      <c r="A607" t="s">
        <v>611</v>
      </c>
      <c r="B607" s="1">
        <v>45982</v>
      </c>
      <c r="C607" t="s">
        <v>54</v>
      </c>
      <c r="D607" t="s">
        <v>15</v>
      </c>
      <c r="E607" t="s">
        <v>56</v>
      </c>
      <c r="F607">
        <v>271.22000000000003</v>
      </c>
      <c r="G607" s="2">
        <f t="shared" si="27"/>
        <v>271.22000000000003</v>
      </c>
      <c r="H607">
        <v>1</v>
      </c>
      <c r="I607" s="3">
        <v>0</v>
      </c>
      <c r="J607">
        <v>5</v>
      </c>
      <c r="K607">
        <f t="shared" si="28"/>
        <v>271.22000000000003</v>
      </c>
      <c r="L607">
        <f t="shared" si="29"/>
        <v>271.22000000000003</v>
      </c>
    </row>
    <row r="608" spans="1:12" x14ac:dyDescent="0.2">
      <c r="A608" t="s">
        <v>268</v>
      </c>
      <c r="B608" s="1">
        <v>45780</v>
      </c>
      <c r="C608" t="s">
        <v>29</v>
      </c>
      <c r="D608" t="s">
        <v>15</v>
      </c>
      <c r="E608" t="s">
        <v>18</v>
      </c>
      <c r="F608">
        <v>521.20000000000005</v>
      </c>
      <c r="G608" s="2">
        <f t="shared" si="27"/>
        <v>521.20000000000005</v>
      </c>
      <c r="H608">
        <v>1</v>
      </c>
      <c r="I608" s="3">
        <v>0</v>
      </c>
      <c r="J608">
        <v>2</v>
      </c>
      <c r="K608">
        <f t="shared" si="28"/>
        <v>521.20000000000005</v>
      </c>
      <c r="L608">
        <f t="shared" si="29"/>
        <v>521.20000000000005</v>
      </c>
    </row>
    <row r="609" spans="1:12" x14ac:dyDescent="0.2">
      <c r="A609" t="s">
        <v>849</v>
      </c>
      <c r="B609" s="1">
        <v>45717</v>
      </c>
      <c r="C609" t="s">
        <v>26</v>
      </c>
      <c r="D609" t="s">
        <v>27</v>
      </c>
      <c r="E609" t="s">
        <v>22</v>
      </c>
      <c r="F609">
        <v>615.51</v>
      </c>
      <c r="G609" s="2">
        <f t="shared" si="27"/>
        <v>615.51</v>
      </c>
      <c r="H609">
        <v>10</v>
      </c>
      <c r="I609" s="3">
        <v>0.15</v>
      </c>
      <c r="J609">
        <v>1</v>
      </c>
      <c r="K609">
        <f t="shared" si="28"/>
        <v>6155.1</v>
      </c>
      <c r="L609">
        <f t="shared" si="29"/>
        <v>5231.835</v>
      </c>
    </row>
    <row r="610" spans="1:12" x14ac:dyDescent="0.2">
      <c r="A610" t="s">
        <v>279</v>
      </c>
      <c r="B610" s="1">
        <v>45994</v>
      </c>
      <c r="C610" t="s">
        <v>43</v>
      </c>
      <c r="D610" t="s">
        <v>15</v>
      </c>
      <c r="E610" t="s">
        <v>30</v>
      </c>
      <c r="F610">
        <v>357.66</v>
      </c>
      <c r="G610" s="2">
        <f t="shared" si="27"/>
        <v>357.66</v>
      </c>
      <c r="H610">
        <v>1</v>
      </c>
      <c r="I610" s="3">
        <v>0</v>
      </c>
      <c r="J610">
        <v>1</v>
      </c>
      <c r="K610">
        <f t="shared" si="28"/>
        <v>357.66</v>
      </c>
      <c r="L610">
        <f t="shared" si="29"/>
        <v>357.66</v>
      </c>
    </row>
    <row r="611" spans="1:12" x14ac:dyDescent="0.2">
      <c r="A611" t="s">
        <v>720</v>
      </c>
      <c r="B611" s="1">
        <v>46017</v>
      </c>
      <c r="C611" t="s">
        <v>29</v>
      </c>
      <c r="D611" t="s">
        <v>15</v>
      </c>
      <c r="E611" t="s">
        <v>30</v>
      </c>
      <c r="F611">
        <v>400.8</v>
      </c>
      <c r="G611" s="2">
        <f t="shared" si="27"/>
        <v>400.8</v>
      </c>
      <c r="H611">
        <v>1</v>
      </c>
      <c r="I611" s="3">
        <v>0</v>
      </c>
      <c r="J611">
        <v>5</v>
      </c>
      <c r="K611">
        <f t="shared" si="28"/>
        <v>400.8</v>
      </c>
      <c r="L611">
        <f t="shared" si="29"/>
        <v>400.8</v>
      </c>
    </row>
    <row r="612" spans="1:12" x14ac:dyDescent="0.2">
      <c r="A612" t="s">
        <v>162</v>
      </c>
      <c r="B612" s="1">
        <v>45922</v>
      </c>
      <c r="C612" t="s">
        <v>43</v>
      </c>
      <c r="D612" t="s">
        <v>15</v>
      </c>
      <c r="E612" t="s">
        <v>56</v>
      </c>
      <c r="F612">
        <v>383.67</v>
      </c>
      <c r="G612" s="2">
        <f t="shared" si="27"/>
        <v>383.67</v>
      </c>
      <c r="H612">
        <v>2</v>
      </c>
      <c r="I612" s="3">
        <v>0</v>
      </c>
      <c r="J612">
        <v>5</v>
      </c>
      <c r="K612">
        <f t="shared" si="28"/>
        <v>767.34</v>
      </c>
      <c r="L612">
        <f t="shared" si="29"/>
        <v>767.34</v>
      </c>
    </row>
    <row r="613" spans="1:12" x14ac:dyDescent="0.2">
      <c r="A613" t="s">
        <v>323</v>
      </c>
      <c r="B613" s="1">
        <v>45797</v>
      </c>
      <c r="C613" t="s">
        <v>10</v>
      </c>
      <c r="D613" t="s">
        <v>11</v>
      </c>
      <c r="E613" t="s">
        <v>22</v>
      </c>
      <c r="F613">
        <v>1010.29</v>
      </c>
      <c r="G613" s="2">
        <f t="shared" si="27"/>
        <v>1010.29</v>
      </c>
      <c r="H613">
        <v>1</v>
      </c>
      <c r="I613" s="3">
        <v>0</v>
      </c>
      <c r="J613">
        <v>2</v>
      </c>
      <c r="K613">
        <f t="shared" si="28"/>
        <v>1010.29</v>
      </c>
      <c r="L613">
        <f t="shared" si="29"/>
        <v>1010.29</v>
      </c>
    </row>
    <row r="614" spans="1:12" x14ac:dyDescent="0.2">
      <c r="A614" t="s">
        <v>584</v>
      </c>
      <c r="B614" s="1">
        <v>45919</v>
      </c>
      <c r="C614" t="s">
        <v>14</v>
      </c>
      <c r="D614" t="s">
        <v>15</v>
      </c>
      <c r="E614" t="s">
        <v>22</v>
      </c>
      <c r="F614">
        <v>383</v>
      </c>
      <c r="G614" s="2">
        <f t="shared" si="27"/>
        <v>383</v>
      </c>
      <c r="H614">
        <v>3</v>
      </c>
      <c r="I614" s="3">
        <v>0</v>
      </c>
      <c r="J614">
        <v>5</v>
      </c>
      <c r="K614">
        <f t="shared" si="28"/>
        <v>1149</v>
      </c>
      <c r="L614">
        <f t="shared" si="29"/>
        <v>1149</v>
      </c>
    </row>
    <row r="615" spans="1:12" x14ac:dyDescent="0.2">
      <c r="A615" t="s">
        <v>769</v>
      </c>
      <c r="B615" s="1">
        <v>45743</v>
      </c>
      <c r="C615" t="s">
        <v>10</v>
      </c>
      <c r="D615" t="s">
        <v>11</v>
      </c>
      <c r="E615" t="s">
        <v>56</v>
      </c>
      <c r="F615">
        <v>1651.69</v>
      </c>
      <c r="G615" s="2">
        <f t="shared" si="27"/>
        <v>1651.69</v>
      </c>
      <c r="H615">
        <v>3</v>
      </c>
      <c r="I615" s="3">
        <v>0</v>
      </c>
      <c r="J615">
        <v>4</v>
      </c>
      <c r="K615">
        <f t="shared" si="28"/>
        <v>4955.07</v>
      </c>
      <c r="L615">
        <f t="shared" si="29"/>
        <v>4955.07</v>
      </c>
    </row>
    <row r="616" spans="1:12" x14ac:dyDescent="0.2">
      <c r="A616" t="s">
        <v>262</v>
      </c>
      <c r="B616" s="1">
        <v>45951</v>
      </c>
      <c r="C616" t="s">
        <v>10</v>
      </c>
      <c r="D616" t="s">
        <v>11</v>
      </c>
      <c r="E616" t="s">
        <v>56</v>
      </c>
      <c r="F616">
        <v>1522.9</v>
      </c>
      <c r="G616" s="2">
        <f t="shared" si="27"/>
        <v>1522.9</v>
      </c>
      <c r="H616">
        <v>1</v>
      </c>
      <c r="I616" s="3">
        <v>0</v>
      </c>
      <c r="J616" t="s">
        <v>857</v>
      </c>
      <c r="K616">
        <f t="shared" si="28"/>
        <v>1522.9</v>
      </c>
      <c r="L616">
        <f t="shared" si="29"/>
        <v>1522.9</v>
      </c>
    </row>
    <row r="617" spans="1:12" x14ac:dyDescent="0.2">
      <c r="A617" t="s">
        <v>186</v>
      </c>
      <c r="B617" s="1">
        <v>45664</v>
      </c>
      <c r="C617" t="s">
        <v>34</v>
      </c>
      <c r="D617" t="s">
        <v>11</v>
      </c>
      <c r="E617" t="s">
        <v>56</v>
      </c>
      <c r="F617">
        <v>1582.36</v>
      </c>
      <c r="G617" s="2">
        <f t="shared" si="27"/>
        <v>1582.36</v>
      </c>
      <c r="H617">
        <v>2</v>
      </c>
      <c r="I617" s="3">
        <v>0</v>
      </c>
      <c r="J617">
        <v>5</v>
      </c>
      <c r="K617">
        <f t="shared" si="28"/>
        <v>3164.72</v>
      </c>
      <c r="L617">
        <f t="shared" si="29"/>
        <v>3164.72</v>
      </c>
    </row>
    <row r="618" spans="1:12" x14ac:dyDescent="0.2">
      <c r="A618" t="s">
        <v>441</v>
      </c>
      <c r="B618" s="1">
        <v>45734</v>
      </c>
      <c r="C618" t="s">
        <v>43</v>
      </c>
      <c r="D618" t="s">
        <v>15</v>
      </c>
      <c r="E618" t="s">
        <v>22</v>
      </c>
      <c r="F618">
        <v>314.20999999999998</v>
      </c>
      <c r="G618" s="2">
        <f t="shared" si="27"/>
        <v>314.20999999999998</v>
      </c>
      <c r="H618">
        <v>1</v>
      </c>
      <c r="I618" s="3">
        <v>0</v>
      </c>
      <c r="J618" t="s">
        <v>857</v>
      </c>
      <c r="K618">
        <f t="shared" si="28"/>
        <v>314.20999999999998</v>
      </c>
      <c r="L618">
        <f t="shared" si="29"/>
        <v>314.20999999999998</v>
      </c>
    </row>
    <row r="619" spans="1:12" x14ac:dyDescent="0.2">
      <c r="A619" t="s">
        <v>342</v>
      </c>
      <c r="B619" s="1">
        <v>45993</v>
      </c>
      <c r="C619" t="s">
        <v>10</v>
      </c>
      <c r="D619" t="s">
        <v>11</v>
      </c>
      <c r="E619" t="s">
        <v>30</v>
      </c>
      <c r="F619">
        <v>962.49</v>
      </c>
      <c r="G619" s="2">
        <f t="shared" si="27"/>
        <v>962.49</v>
      </c>
      <c r="H619">
        <v>5</v>
      </c>
      <c r="I619" s="3">
        <v>0</v>
      </c>
      <c r="J619">
        <v>5</v>
      </c>
      <c r="K619">
        <f t="shared" si="28"/>
        <v>4812.45</v>
      </c>
      <c r="L619">
        <f t="shared" si="29"/>
        <v>4812.45</v>
      </c>
    </row>
    <row r="620" spans="1:12" x14ac:dyDescent="0.2">
      <c r="A620" t="s">
        <v>548</v>
      </c>
      <c r="B620" s="1">
        <v>45821</v>
      </c>
      <c r="C620" t="s">
        <v>32</v>
      </c>
      <c r="D620" t="s">
        <v>21</v>
      </c>
      <c r="E620" t="s">
        <v>22</v>
      </c>
      <c r="G620" s="2">
        <f t="shared" si="27"/>
        <v>1804.6623913043472</v>
      </c>
      <c r="H620">
        <v>2</v>
      </c>
      <c r="I620" s="3">
        <v>0</v>
      </c>
      <c r="J620">
        <v>5</v>
      </c>
      <c r="K620">
        <f t="shared" si="28"/>
        <v>3609.3247826086945</v>
      </c>
      <c r="L620">
        <f t="shared" si="29"/>
        <v>3609.3247826086945</v>
      </c>
    </row>
    <row r="621" spans="1:12" x14ac:dyDescent="0.2">
      <c r="A621" t="s">
        <v>691</v>
      </c>
      <c r="B621" s="1">
        <v>46002</v>
      </c>
      <c r="C621" t="s">
        <v>34</v>
      </c>
      <c r="D621" t="s">
        <v>11</v>
      </c>
      <c r="E621" t="s">
        <v>56</v>
      </c>
      <c r="F621">
        <v>1213.3699999999999</v>
      </c>
      <c r="G621" s="2">
        <f t="shared" si="27"/>
        <v>1213.3699999999999</v>
      </c>
      <c r="H621">
        <v>1</v>
      </c>
      <c r="I621" s="3">
        <v>0</v>
      </c>
      <c r="J621">
        <v>4</v>
      </c>
      <c r="K621">
        <f t="shared" si="28"/>
        <v>1213.3699999999999</v>
      </c>
      <c r="L621">
        <f t="shared" si="29"/>
        <v>1213.3699999999999</v>
      </c>
    </row>
    <row r="622" spans="1:12" x14ac:dyDescent="0.2">
      <c r="A622" t="s">
        <v>694</v>
      </c>
      <c r="B622" s="1">
        <v>45681</v>
      </c>
      <c r="C622" t="s">
        <v>10</v>
      </c>
      <c r="D622" t="s">
        <v>11</v>
      </c>
      <c r="E622" t="s">
        <v>56</v>
      </c>
      <c r="F622">
        <v>1462.61</v>
      </c>
      <c r="G622" s="2">
        <f t="shared" si="27"/>
        <v>1462.61</v>
      </c>
      <c r="H622">
        <v>5</v>
      </c>
      <c r="I622" s="3">
        <v>0</v>
      </c>
      <c r="J622">
        <v>5</v>
      </c>
      <c r="K622">
        <f t="shared" si="28"/>
        <v>7313.0499999999993</v>
      </c>
      <c r="L622">
        <f t="shared" si="29"/>
        <v>7313.0499999999993</v>
      </c>
    </row>
    <row r="623" spans="1:12" x14ac:dyDescent="0.2">
      <c r="A623" t="s">
        <v>638</v>
      </c>
      <c r="B623" s="1">
        <v>45817</v>
      </c>
      <c r="C623" t="s">
        <v>10</v>
      </c>
      <c r="D623" t="s">
        <v>11</v>
      </c>
      <c r="E623" t="s">
        <v>18</v>
      </c>
      <c r="F623">
        <v>793.81</v>
      </c>
      <c r="G623" s="2">
        <f t="shared" si="27"/>
        <v>793.81</v>
      </c>
      <c r="H623">
        <v>3</v>
      </c>
      <c r="I623" s="3">
        <v>0</v>
      </c>
      <c r="J623" t="s">
        <v>857</v>
      </c>
      <c r="K623">
        <f t="shared" si="28"/>
        <v>2381.4299999999998</v>
      </c>
      <c r="L623">
        <f t="shared" si="29"/>
        <v>2381.4299999999998</v>
      </c>
    </row>
    <row r="624" spans="1:12" x14ac:dyDescent="0.2">
      <c r="A624" t="s">
        <v>777</v>
      </c>
      <c r="B624" s="1">
        <v>45846</v>
      </c>
      <c r="C624" t="s">
        <v>14</v>
      </c>
      <c r="D624" t="s">
        <v>15</v>
      </c>
      <c r="E624" t="s">
        <v>56</v>
      </c>
      <c r="F624">
        <v>457.07</v>
      </c>
      <c r="G624" s="2">
        <f t="shared" si="27"/>
        <v>457.07</v>
      </c>
      <c r="H624">
        <v>2</v>
      </c>
      <c r="I624" s="3">
        <v>0</v>
      </c>
      <c r="J624">
        <v>4</v>
      </c>
      <c r="K624">
        <f t="shared" si="28"/>
        <v>914.14</v>
      </c>
      <c r="L624">
        <f t="shared" si="29"/>
        <v>914.14</v>
      </c>
    </row>
    <row r="625" spans="1:12" x14ac:dyDescent="0.2">
      <c r="A625" t="s">
        <v>341</v>
      </c>
      <c r="B625" s="1">
        <v>45782</v>
      </c>
      <c r="C625" t="s">
        <v>29</v>
      </c>
      <c r="D625" t="s">
        <v>15</v>
      </c>
      <c r="E625" t="s">
        <v>56</v>
      </c>
      <c r="F625">
        <v>338.94</v>
      </c>
      <c r="G625" s="2">
        <f t="shared" si="27"/>
        <v>338.94</v>
      </c>
      <c r="H625">
        <v>10</v>
      </c>
      <c r="I625" s="3">
        <v>0</v>
      </c>
      <c r="J625">
        <v>5</v>
      </c>
      <c r="K625">
        <f t="shared" si="28"/>
        <v>3389.4</v>
      </c>
      <c r="L625">
        <f t="shared" si="29"/>
        <v>3389.4</v>
      </c>
    </row>
    <row r="626" spans="1:12" x14ac:dyDescent="0.2">
      <c r="A626" t="s">
        <v>704</v>
      </c>
      <c r="B626" s="1">
        <v>45758</v>
      </c>
      <c r="C626" t="s">
        <v>10</v>
      </c>
      <c r="D626" t="s">
        <v>11</v>
      </c>
      <c r="E626" t="s">
        <v>860</v>
      </c>
      <c r="F626">
        <v>1097.55</v>
      </c>
      <c r="G626" s="2">
        <f t="shared" si="27"/>
        <v>1097.55</v>
      </c>
      <c r="H626">
        <v>2</v>
      </c>
      <c r="I626" s="3">
        <v>0</v>
      </c>
      <c r="J626">
        <v>1</v>
      </c>
      <c r="K626">
        <f t="shared" si="28"/>
        <v>2195.1</v>
      </c>
      <c r="L626">
        <f t="shared" si="29"/>
        <v>2195.1</v>
      </c>
    </row>
    <row r="627" spans="1:12" x14ac:dyDescent="0.2">
      <c r="A627" t="s">
        <v>25</v>
      </c>
      <c r="B627" s="1">
        <v>45670</v>
      </c>
      <c r="C627" t="s">
        <v>26</v>
      </c>
      <c r="D627" t="s">
        <v>27</v>
      </c>
      <c r="E627" t="s">
        <v>22</v>
      </c>
      <c r="F627">
        <v>478.55</v>
      </c>
      <c r="G627" s="2">
        <f t="shared" si="27"/>
        <v>478.55</v>
      </c>
      <c r="H627">
        <v>2</v>
      </c>
      <c r="I627" s="3">
        <v>0.15</v>
      </c>
      <c r="J627">
        <v>5</v>
      </c>
      <c r="K627">
        <f t="shared" si="28"/>
        <v>957.1</v>
      </c>
      <c r="L627">
        <f t="shared" si="29"/>
        <v>813.53499999999997</v>
      </c>
    </row>
    <row r="628" spans="1:12" x14ac:dyDescent="0.2">
      <c r="A628" t="s">
        <v>335</v>
      </c>
      <c r="B628" s="1">
        <v>46013</v>
      </c>
      <c r="C628" t="s">
        <v>856</v>
      </c>
      <c r="D628" t="s">
        <v>11</v>
      </c>
      <c r="E628" t="s">
        <v>18</v>
      </c>
      <c r="G628" s="2">
        <f t="shared" si="27"/>
        <v>1225.2512631578948</v>
      </c>
      <c r="H628">
        <v>1</v>
      </c>
      <c r="I628" s="3">
        <v>0</v>
      </c>
      <c r="J628">
        <v>1</v>
      </c>
      <c r="K628">
        <f t="shared" si="28"/>
        <v>1225.2512631578948</v>
      </c>
      <c r="L628">
        <f t="shared" si="29"/>
        <v>1225.2512631578948</v>
      </c>
    </row>
    <row r="629" spans="1:12" x14ac:dyDescent="0.2">
      <c r="A629" t="s">
        <v>767</v>
      </c>
      <c r="B629" s="1">
        <v>45850</v>
      </c>
      <c r="C629" t="s">
        <v>10</v>
      </c>
      <c r="D629" t="s">
        <v>11</v>
      </c>
      <c r="E629" t="s">
        <v>860</v>
      </c>
      <c r="F629">
        <v>1397.56</v>
      </c>
      <c r="G629" s="2">
        <f t="shared" si="27"/>
        <v>1397.56</v>
      </c>
      <c r="H629">
        <v>2</v>
      </c>
      <c r="I629" s="3">
        <v>0</v>
      </c>
      <c r="J629">
        <v>4</v>
      </c>
      <c r="K629">
        <f t="shared" si="28"/>
        <v>2795.12</v>
      </c>
      <c r="L629">
        <f t="shared" si="29"/>
        <v>2795.12</v>
      </c>
    </row>
    <row r="630" spans="1:12" x14ac:dyDescent="0.2">
      <c r="A630" t="s">
        <v>143</v>
      </c>
      <c r="B630" s="1">
        <v>45872</v>
      </c>
      <c r="C630" t="s">
        <v>17</v>
      </c>
      <c r="D630" t="s">
        <v>11</v>
      </c>
      <c r="E630" t="s">
        <v>30</v>
      </c>
      <c r="F630">
        <v>1217.5999999999999</v>
      </c>
      <c r="G630" s="2">
        <f t="shared" si="27"/>
        <v>1217.5999999999999</v>
      </c>
      <c r="H630">
        <v>10</v>
      </c>
      <c r="I630" s="3">
        <v>0</v>
      </c>
      <c r="J630">
        <v>3</v>
      </c>
      <c r="K630">
        <f t="shared" si="28"/>
        <v>12176</v>
      </c>
      <c r="L630">
        <f t="shared" si="29"/>
        <v>12176</v>
      </c>
    </row>
    <row r="631" spans="1:12" x14ac:dyDescent="0.2">
      <c r="A631" t="s">
        <v>364</v>
      </c>
      <c r="B631" s="1">
        <v>45705</v>
      </c>
      <c r="C631" t="s">
        <v>29</v>
      </c>
      <c r="D631" t="s">
        <v>15</v>
      </c>
      <c r="E631" t="s">
        <v>18</v>
      </c>
      <c r="F631">
        <v>259.7</v>
      </c>
      <c r="G631" s="2">
        <f t="shared" si="27"/>
        <v>259.7</v>
      </c>
      <c r="H631">
        <v>1</v>
      </c>
      <c r="I631" s="3">
        <v>0</v>
      </c>
      <c r="J631" t="s">
        <v>857</v>
      </c>
      <c r="K631">
        <f t="shared" si="28"/>
        <v>259.7</v>
      </c>
      <c r="L631">
        <f t="shared" si="29"/>
        <v>259.7</v>
      </c>
    </row>
    <row r="632" spans="1:12" x14ac:dyDescent="0.2">
      <c r="A632" t="s">
        <v>101</v>
      </c>
      <c r="B632" s="1">
        <v>45848</v>
      </c>
      <c r="C632" t="s">
        <v>54</v>
      </c>
      <c r="D632" t="s">
        <v>15</v>
      </c>
      <c r="E632" t="s">
        <v>30</v>
      </c>
      <c r="F632">
        <v>259.33999999999997</v>
      </c>
      <c r="G632" s="2">
        <f t="shared" si="27"/>
        <v>259.33999999999997</v>
      </c>
      <c r="H632">
        <v>10</v>
      </c>
      <c r="I632" s="3">
        <v>0.2</v>
      </c>
      <c r="J632">
        <v>2</v>
      </c>
      <c r="K632">
        <f t="shared" si="28"/>
        <v>2593.3999999999996</v>
      </c>
      <c r="L632">
        <f t="shared" si="29"/>
        <v>2074.7199999999998</v>
      </c>
    </row>
    <row r="633" spans="1:12" x14ac:dyDescent="0.2">
      <c r="A633" t="s">
        <v>439</v>
      </c>
      <c r="B633" s="1">
        <v>45916</v>
      </c>
      <c r="C633" t="s">
        <v>856</v>
      </c>
      <c r="D633" t="s">
        <v>11</v>
      </c>
      <c r="E633" t="s">
        <v>56</v>
      </c>
      <c r="F633">
        <v>1119.4100000000001</v>
      </c>
      <c r="G633" s="2">
        <f t="shared" si="27"/>
        <v>1119.4100000000001</v>
      </c>
      <c r="H633">
        <v>1</v>
      </c>
      <c r="I633" s="3">
        <v>0.2</v>
      </c>
      <c r="J633">
        <v>5</v>
      </c>
      <c r="K633">
        <f t="shared" si="28"/>
        <v>1119.4100000000001</v>
      </c>
      <c r="L633">
        <f t="shared" si="29"/>
        <v>895.52800000000013</v>
      </c>
    </row>
    <row r="634" spans="1:12" x14ac:dyDescent="0.2">
      <c r="A634" t="s">
        <v>281</v>
      </c>
      <c r="B634" s="1">
        <v>45948</v>
      </c>
      <c r="C634" t="s">
        <v>34</v>
      </c>
      <c r="D634" t="s">
        <v>11</v>
      </c>
      <c r="E634" t="s">
        <v>56</v>
      </c>
      <c r="F634">
        <v>1600.57</v>
      </c>
      <c r="G634" s="2">
        <f t="shared" si="27"/>
        <v>1600.57</v>
      </c>
      <c r="H634">
        <v>1</v>
      </c>
      <c r="I634" s="3">
        <v>0.1</v>
      </c>
      <c r="J634">
        <v>3</v>
      </c>
      <c r="K634">
        <f t="shared" si="28"/>
        <v>1600.57</v>
      </c>
      <c r="L634">
        <f t="shared" si="29"/>
        <v>1440.5129999999999</v>
      </c>
    </row>
    <row r="635" spans="1:12" x14ac:dyDescent="0.2">
      <c r="A635" t="s">
        <v>577</v>
      </c>
      <c r="B635" s="1">
        <v>45791</v>
      </c>
      <c r="C635" t="s">
        <v>32</v>
      </c>
      <c r="D635" t="s">
        <v>21</v>
      </c>
      <c r="E635" t="s">
        <v>18</v>
      </c>
      <c r="F635">
        <v>1706.55</v>
      </c>
      <c r="G635" s="2">
        <f t="shared" si="27"/>
        <v>1706.55</v>
      </c>
      <c r="H635">
        <v>3</v>
      </c>
      <c r="I635" s="3">
        <v>0.1</v>
      </c>
      <c r="J635">
        <v>5</v>
      </c>
      <c r="K635">
        <f t="shared" si="28"/>
        <v>5119.6499999999996</v>
      </c>
      <c r="L635">
        <f t="shared" si="29"/>
        <v>4607.6849999999995</v>
      </c>
    </row>
    <row r="636" spans="1:12" x14ac:dyDescent="0.2">
      <c r="A636" t="s">
        <v>627</v>
      </c>
      <c r="B636" s="1">
        <v>45797</v>
      </c>
      <c r="C636" t="s">
        <v>43</v>
      </c>
      <c r="D636" t="s">
        <v>15</v>
      </c>
      <c r="E636" t="s">
        <v>22</v>
      </c>
      <c r="G636" s="2">
        <f t="shared" si="27"/>
        <v>362.89299999999997</v>
      </c>
      <c r="H636">
        <v>2</v>
      </c>
      <c r="I636" s="3">
        <v>0</v>
      </c>
      <c r="J636">
        <v>4</v>
      </c>
      <c r="K636">
        <f t="shared" si="28"/>
        <v>725.78599999999994</v>
      </c>
      <c r="L636">
        <f t="shared" si="29"/>
        <v>725.78599999999994</v>
      </c>
    </row>
    <row r="637" spans="1:12" x14ac:dyDescent="0.2">
      <c r="A637" t="s">
        <v>357</v>
      </c>
      <c r="B637" s="1">
        <v>45957</v>
      </c>
      <c r="C637" t="s">
        <v>32</v>
      </c>
      <c r="D637" t="s">
        <v>21</v>
      </c>
      <c r="E637" t="s">
        <v>18</v>
      </c>
      <c r="F637">
        <v>1711.53</v>
      </c>
      <c r="G637" s="2">
        <f t="shared" si="27"/>
        <v>1711.53</v>
      </c>
      <c r="H637">
        <v>1</v>
      </c>
      <c r="I637" s="3">
        <v>0</v>
      </c>
      <c r="J637">
        <v>2</v>
      </c>
      <c r="K637">
        <f t="shared" si="28"/>
        <v>1711.53</v>
      </c>
      <c r="L637">
        <f t="shared" si="29"/>
        <v>1711.53</v>
      </c>
    </row>
    <row r="638" spans="1:12" x14ac:dyDescent="0.2">
      <c r="A638" t="s">
        <v>153</v>
      </c>
      <c r="B638" s="1">
        <v>45896</v>
      </c>
      <c r="C638" t="s">
        <v>32</v>
      </c>
      <c r="D638" t="s">
        <v>21</v>
      </c>
      <c r="E638" t="s">
        <v>22</v>
      </c>
      <c r="G638" s="2">
        <f t="shared" si="27"/>
        <v>1804.6623913043472</v>
      </c>
      <c r="H638">
        <v>3</v>
      </c>
      <c r="I638" s="3">
        <v>0.1</v>
      </c>
      <c r="J638">
        <v>2</v>
      </c>
      <c r="K638">
        <f t="shared" si="28"/>
        <v>5413.9871739130413</v>
      </c>
      <c r="L638">
        <f t="shared" si="29"/>
        <v>4872.5884565217375</v>
      </c>
    </row>
    <row r="639" spans="1:12" x14ac:dyDescent="0.2">
      <c r="A639" t="s">
        <v>735</v>
      </c>
      <c r="B639" s="1">
        <v>45764</v>
      </c>
      <c r="C639" t="s">
        <v>17</v>
      </c>
      <c r="D639" t="s">
        <v>11</v>
      </c>
      <c r="E639" t="s">
        <v>18</v>
      </c>
      <c r="F639">
        <v>552.75</v>
      </c>
      <c r="G639" s="2">
        <f t="shared" si="27"/>
        <v>552.75</v>
      </c>
      <c r="H639">
        <v>10</v>
      </c>
      <c r="I639" s="3">
        <v>0</v>
      </c>
      <c r="J639">
        <v>5</v>
      </c>
      <c r="K639">
        <f t="shared" si="28"/>
        <v>5527.5</v>
      </c>
      <c r="L639">
        <f t="shared" si="29"/>
        <v>5527.5</v>
      </c>
    </row>
    <row r="640" spans="1:12" x14ac:dyDescent="0.2">
      <c r="A640" t="s">
        <v>746</v>
      </c>
      <c r="B640" s="1">
        <v>45719</v>
      </c>
      <c r="C640" t="s">
        <v>43</v>
      </c>
      <c r="D640" t="s">
        <v>15</v>
      </c>
      <c r="E640" t="s">
        <v>18</v>
      </c>
      <c r="F640">
        <v>346.2</v>
      </c>
      <c r="G640" s="2">
        <f t="shared" si="27"/>
        <v>346.2</v>
      </c>
      <c r="H640">
        <v>1</v>
      </c>
      <c r="I640" s="3">
        <v>0</v>
      </c>
      <c r="J640">
        <v>4</v>
      </c>
      <c r="K640">
        <f t="shared" si="28"/>
        <v>346.2</v>
      </c>
      <c r="L640">
        <f t="shared" si="29"/>
        <v>346.2</v>
      </c>
    </row>
    <row r="641" spans="1:12" x14ac:dyDescent="0.2">
      <c r="A641" t="s">
        <v>752</v>
      </c>
      <c r="B641" s="1">
        <v>46014</v>
      </c>
      <c r="C641" t="s">
        <v>10</v>
      </c>
      <c r="D641" t="s">
        <v>11</v>
      </c>
      <c r="E641" t="s">
        <v>30</v>
      </c>
      <c r="F641">
        <v>1144.58</v>
      </c>
      <c r="G641" s="2">
        <f t="shared" si="27"/>
        <v>1144.58</v>
      </c>
      <c r="H641">
        <v>1</v>
      </c>
      <c r="I641" s="3">
        <v>0</v>
      </c>
      <c r="J641">
        <v>5</v>
      </c>
      <c r="K641">
        <f t="shared" si="28"/>
        <v>1144.58</v>
      </c>
      <c r="L641">
        <f t="shared" si="29"/>
        <v>1144.58</v>
      </c>
    </row>
    <row r="642" spans="1:12" x14ac:dyDescent="0.2">
      <c r="A642" t="s">
        <v>416</v>
      </c>
      <c r="B642" s="1">
        <v>46022</v>
      </c>
      <c r="C642" t="s">
        <v>32</v>
      </c>
      <c r="D642" t="s">
        <v>21</v>
      </c>
      <c r="E642" t="s">
        <v>860</v>
      </c>
      <c r="F642">
        <v>2050.63</v>
      </c>
      <c r="G642" s="2">
        <f t="shared" ref="G642:G705" si="30">IF(F642="", AVERAGEIF(C:C, C642, F:F), F642)</f>
        <v>2050.63</v>
      </c>
      <c r="H642">
        <v>2</v>
      </c>
      <c r="I642" s="3">
        <v>0</v>
      </c>
      <c r="J642">
        <v>5</v>
      </c>
      <c r="K642">
        <f t="shared" si="28"/>
        <v>4101.26</v>
      </c>
      <c r="L642">
        <f t="shared" si="29"/>
        <v>4101.26</v>
      </c>
    </row>
    <row r="643" spans="1:12" x14ac:dyDescent="0.2">
      <c r="A643" t="s">
        <v>451</v>
      </c>
      <c r="B643" s="1">
        <v>46004</v>
      </c>
      <c r="C643" t="s">
        <v>17</v>
      </c>
      <c r="D643" t="s">
        <v>11</v>
      </c>
      <c r="E643" t="s">
        <v>56</v>
      </c>
      <c r="F643">
        <v>1643.75</v>
      </c>
      <c r="G643" s="2">
        <f t="shared" si="30"/>
        <v>1643.75</v>
      </c>
      <c r="H643">
        <v>2</v>
      </c>
      <c r="I643" s="3">
        <v>0</v>
      </c>
      <c r="J643">
        <v>3</v>
      </c>
      <c r="K643">
        <f t="shared" ref="K643:K706" si="31">G643*H643</f>
        <v>3287.5</v>
      </c>
      <c r="L643">
        <f t="shared" ref="L643:L706" si="32">G643*H643*(1-I643)</f>
        <v>3287.5</v>
      </c>
    </row>
    <row r="644" spans="1:12" x14ac:dyDescent="0.2">
      <c r="A644" t="s">
        <v>642</v>
      </c>
      <c r="B644" s="1">
        <v>45889</v>
      </c>
      <c r="C644" t="s">
        <v>34</v>
      </c>
      <c r="D644" t="s">
        <v>11</v>
      </c>
      <c r="E644" t="s">
        <v>22</v>
      </c>
      <c r="F644">
        <v>1470.38</v>
      </c>
      <c r="G644" s="2">
        <f t="shared" si="30"/>
        <v>1470.38</v>
      </c>
      <c r="H644">
        <v>2</v>
      </c>
      <c r="I644" s="3">
        <v>0</v>
      </c>
      <c r="J644">
        <v>5</v>
      </c>
      <c r="K644">
        <f t="shared" si="31"/>
        <v>2940.76</v>
      </c>
      <c r="L644">
        <f t="shared" si="32"/>
        <v>2940.76</v>
      </c>
    </row>
    <row r="645" spans="1:12" x14ac:dyDescent="0.2">
      <c r="A645" t="s">
        <v>689</v>
      </c>
      <c r="B645" s="1">
        <v>45729</v>
      </c>
      <c r="C645" t="s">
        <v>34</v>
      </c>
      <c r="D645" t="s">
        <v>11</v>
      </c>
      <c r="E645" t="s">
        <v>18</v>
      </c>
      <c r="F645">
        <v>1135.47</v>
      </c>
      <c r="G645" s="2">
        <f t="shared" si="30"/>
        <v>1135.47</v>
      </c>
      <c r="H645">
        <v>1</v>
      </c>
      <c r="I645" s="3">
        <v>0</v>
      </c>
      <c r="J645">
        <v>1</v>
      </c>
      <c r="K645">
        <f t="shared" si="31"/>
        <v>1135.47</v>
      </c>
      <c r="L645">
        <f t="shared" si="32"/>
        <v>1135.47</v>
      </c>
    </row>
    <row r="646" spans="1:12" x14ac:dyDescent="0.2">
      <c r="A646" t="s">
        <v>675</v>
      </c>
      <c r="B646" s="1">
        <v>45771</v>
      </c>
      <c r="C646" t="s">
        <v>10</v>
      </c>
      <c r="D646" t="s">
        <v>11</v>
      </c>
      <c r="E646" t="s">
        <v>18</v>
      </c>
      <c r="F646">
        <v>934.43</v>
      </c>
      <c r="G646" s="2">
        <f t="shared" si="30"/>
        <v>934.43</v>
      </c>
      <c r="H646">
        <v>1</v>
      </c>
      <c r="I646" s="3">
        <v>0</v>
      </c>
      <c r="J646">
        <v>5</v>
      </c>
      <c r="K646">
        <f t="shared" si="31"/>
        <v>934.43</v>
      </c>
      <c r="L646">
        <f t="shared" si="32"/>
        <v>934.43</v>
      </c>
    </row>
    <row r="647" spans="1:12" x14ac:dyDescent="0.2">
      <c r="A647" t="s">
        <v>768</v>
      </c>
      <c r="B647" s="1">
        <v>45980</v>
      </c>
      <c r="C647" t="s">
        <v>43</v>
      </c>
      <c r="D647" t="s">
        <v>15</v>
      </c>
      <c r="E647" t="s">
        <v>30</v>
      </c>
      <c r="F647">
        <v>530.14</v>
      </c>
      <c r="G647" s="2">
        <f t="shared" si="30"/>
        <v>530.14</v>
      </c>
      <c r="H647">
        <v>1</v>
      </c>
      <c r="I647" s="3">
        <v>0.15</v>
      </c>
      <c r="J647">
        <v>4</v>
      </c>
      <c r="K647">
        <f t="shared" si="31"/>
        <v>530.14</v>
      </c>
      <c r="L647">
        <f t="shared" si="32"/>
        <v>450.61899999999997</v>
      </c>
    </row>
    <row r="648" spans="1:12" x14ac:dyDescent="0.2">
      <c r="A648" t="s">
        <v>215</v>
      </c>
      <c r="B648" s="1">
        <v>45696</v>
      </c>
      <c r="C648" t="s">
        <v>26</v>
      </c>
      <c r="D648" t="s">
        <v>27</v>
      </c>
      <c r="E648" t="s">
        <v>18</v>
      </c>
      <c r="F648">
        <v>607.11</v>
      </c>
      <c r="G648" s="2">
        <f t="shared" si="30"/>
        <v>607.11</v>
      </c>
      <c r="H648">
        <v>1</v>
      </c>
      <c r="I648" s="3">
        <v>0</v>
      </c>
      <c r="J648">
        <v>4</v>
      </c>
      <c r="K648">
        <f t="shared" si="31"/>
        <v>607.11</v>
      </c>
      <c r="L648">
        <f t="shared" si="32"/>
        <v>607.11</v>
      </c>
    </row>
    <row r="649" spans="1:12" x14ac:dyDescent="0.2">
      <c r="A649" t="s">
        <v>410</v>
      </c>
      <c r="B649" s="1">
        <v>45885</v>
      </c>
      <c r="C649" t="s">
        <v>26</v>
      </c>
      <c r="D649" t="s">
        <v>27</v>
      </c>
      <c r="E649" t="s">
        <v>30</v>
      </c>
      <c r="F649">
        <v>601.66999999999996</v>
      </c>
      <c r="G649" s="2">
        <f t="shared" si="30"/>
        <v>601.66999999999996</v>
      </c>
      <c r="H649">
        <v>1</v>
      </c>
      <c r="I649" s="3">
        <v>0</v>
      </c>
      <c r="J649">
        <v>5</v>
      </c>
      <c r="K649">
        <f t="shared" si="31"/>
        <v>601.66999999999996</v>
      </c>
      <c r="L649">
        <f t="shared" si="32"/>
        <v>601.66999999999996</v>
      </c>
    </row>
    <row r="650" spans="1:12" x14ac:dyDescent="0.2">
      <c r="A650" t="s">
        <v>196</v>
      </c>
      <c r="B650" s="1">
        <v>45894</v>
      </c>
      <c r="C650" t="s">
        <v>34</v>
      </c>
      <c r="D650" t="s">
        <v>11</v>
      </c>
      <c r="E650" t="s">
        <v>56</v>
      </c>
      <c r="F650">
        <v>1194.21</v>
      </c>
      <c r="G650" s="2">
        <f t="shared" si="30"/>
        <v>1194.21</v>
      </c>
      <c r="H650">
        <v>1</v>
      </c>
      <c r="I650" s="3">
        <v>0</v>
      </c>
      <c r="J650">
        <v>5</v>
      </c>
      <c r="K650">
        <f t="shared" si="31"/>
        <v>1194.21</v>
      </c>
      <c r="L650">
        <f t="shared" si="32"/>
        <v>1194.21</v>
      </c>
    </row>
    <row r="651" spans="1:12" x14ac:dyDescent="0.2">
      <c r="A651" t="s">
        <v>623</v>
      </c>
      <c r="B651" s="1">
        <v>45860</v>
      </c>
      <c r="C651" t="s">
        <v>10</v>
      </c>
      <c r="D651" t="s">
        <v>11</v>
      </c>
      <c r="E651" t="s">
        <v>30</v>
      </c>
      <c r="F651">
        <v>1247.54</v>
      </c>
      <c r="G651" s="2">
        <f t="shared" si="30"/>
        <v>1247.54</v>
      </c>
      <c r="H651">
        <v>10</v>
      </c>
      <c r="I651" s="3">
        <v>0</v>
      </c>
      <c r="J651">
        <v>5</v>
      </c>
      <c r="K651">
        <f t="shared" si="31"/>
        <v>12475.4</v>
      </c>
      <c r="L651">
        <f t="shared" si="32"/>
        <v>12475.4</v>
      </c>
    </row>
    <row r="652" spans="1:12" x14ac:dyDescent="0.2">
      <c r="A652" t="s">
        <v>587</v>
      </c>
      <c r="B652" s="1">
        <v>45746</v>
      </c>
      <c r="C652" t="s">
        <v>856</v>
      </c>
      <c r="D652" t="s">
        <v>11</v>
      </c>
      <c r="E652" t="s">
        <v>22</v>
      </c>
      <c r="F652">
        <v>1165.3499999999999</v>
      </c>
      <c r="G652" s="2">
        <f t="shared" si="30"/>
        <v>1165.3499999999999</v>
      </c>
      <c r="H652">
        <v>3</v>
      </c>
      <c r="I652" s="3">
        <v>0</v>
      </c>
      <c r="J652">
        <v>3</v>
      </c>
      <c r="K652">
        <f t="shared" si="31"/>
        <v>3496.0499999999997</v>
      </c>
      <c r="L652">
        <f t="shared" si="32"/>
        <v>3496.0499999999997</v>
      </c>
    </row>
    <row r="653" spans="1:12" x14ac:dyDescent="0.2">
      <c r="A653" t="s">
        <v>217</v>
      </c>
      <c r="B653" s="1">
        <v>45886</v>
      </c>
      <c r="C653" t="s">
        <v>43</v>
      </c>
      <c r="D653" t="s">
        <v>15</v>
      </c>
      <c r="E653" t="s">
        <v>18</v>
      </c>
      <c r="G653" s="2">
        <f t="shared" si="30"/>
        <v>362.89299999999997</v>
      </c>
      <c r="H653">
        <v>1</v>
      </c>
      <c r="I653" s="3">
        <v>0</v>
      </c>
      <c r="J653">
        <v>4</v>
      </c>
      <c r="K653">
        <f t="shared" si="31"/>
        <v>362.89299999999997</v>
      </c>
      <c r="L653">
        <f t="shared" si="32"/>
        <v>362.89299999999997</v>
      </c>
    </row>
    <row r="654" spans="1:12" x14ac:dyDescent="0.2">
      <c r="A654" t="s">
        <v>794</v>
      </c>
      <c r="B654" s="1">
        <v>45913</v>
      </c>
      <c r="C654" t="s">
        <v>856</v>
      </c>
      <c r="D654" t="s">
        <v>11</v>
      </c>
      <c r="E654" t="s">
        <v>18</v>
      </c>
      <c r="F654">
        <v>1068.75</v>
      </c>
      <c r="G654" s="2">
        <f t="shared" si="30"/>
        <v>1068.75</v>
      </c>
      <c r="H654">
        <v>5</v>
      </c>
      <c r="I654" s="3">
        <v>0.15</v>
      </c>
      <c r="J654">
        <v>5</v>
      </c>
      <c r="K654">
        <f t="shared" si="31"/>
        <v>5343.75</v>
      </c>
      <c r="L654">
        <f t="shared" si="32"/>
        <v>4542.1875</v>
      </c>
    </row>
    <row r="655" spans="1:12" x14ac:dyDescent="0.2">
      <c r="A655" t="s">
        <v>249</v>
      </c>
      <c r="B655" s="1">
        <v>45801</v>
      </c>
      <c r="C655" t="s">
        <v>34</v>
      </c>
      <c r="D655" t="s">
        <v>11</v>
      </c>
      <c r="E655" t="s">
        <v>56</v>
      </c>
      <c r="F655">
        <v>1192.1400000000001</v>
      </c>
      <c r="G655" s="2">
        <f t="shared" si="30"/>
        <v>1192.1400000000001</v>
      </c>
      <c r="H655">
        <v>5</v>
      </c>
      <c r="I655" s="3">
        <v>0</v>
      </c>
      <c r="J655">
        <v>5</v>
      </c>
      <c r="K655">
        <f t="shared" si="31"/>
        <v>5960.7000000000007</v>
      </c>
      <c r="L655">
        <f t="shared" si="32"/>
        <v>5960.7000000000007</v>
      </c>
    </row>
    <row r="656" spans="1:12" x14ac:dyDescent="0.2">
      <c r="A656" t="s">
        <v>332</v>
      </c>
      <c r="B656" s="1">
        <v>45927</v>
      </c>
      <c r="C656" t="s">
        <v>32</v>
      </c>
      <c r="D656" t="s">
        <v>21</v>
      </c>
      <c r="E656" t="s">
        <v>30</v>
      </c>
      <c r="F656">
        <v>1604.37</v>
      </c>
      <c r="G656" s="2">
        <f t="shared" si="30"/>
        <v>1604.37</v>
      </c>
      <c r="H656">
        <v>2</v>
      </c>
      <c r="I656" s="3">
        <v>0.2</v>
      </c>
      <c r="J656" t="s">
        <v>857</v>
      </c>
      <c r="K656">
        <f t="shared" si="31"/>
        <v>3208.74</v>
      </c>
      <c r="L656">
        <f t="shared" si="32"/>
        <v>2566.9920000000002</v>
      </c>
    </row>
    <row r="657" spans="1:12" x14ac:dyDescent="0.2">
      <c r="A657" t="s">
        <v>398</v>
      </c>
      <c r="B657" s="1">
        <v>45853</v>
      </c>
      <c r="C657" t="s">
        <v>10</v>
      </c>
      <c r="D657" t="s">
        <v>11</v>
      </c>
      <c r="E657" t="s">
        <v>56</v>
      </c>
      <c r="F657">
        <v>1028.92</v>
      </c>
      <c r="G657" s="2">
        <f t="shared" si="30"/>
        <v>1028.92</v>
      </c>
      <c r="H657">
        <v>3</v>
      </c>
      <c r="I657" s="3">
        <v>0.1</v>
      </c>
      <c r="J657" t="s">
        <v>857</v>
      </c>
      <c r="K657">
        <f t="shared" si="31"/>
        <v>3086.76</v>
      </c>
      <c r="L657">
        <f t="shared" si="32"/>
        <v>2778.0840000000003</v>
      </c>
    </row>
    <row r="658" spans="1:12" x14ac:dyDescent="0.2">
      <c r="A658" t="s">
        <v>685</v>
      </c>
      <c r="B658" s="1">
        <v>45834</v>
      </c>
      <c r="C658" t="s">
        <v>10</v>
      </c>
      <c r="D658" t="s">
        <v>11</v>
      </c>
      <c r="E658" t="s">
        <v>22</v>
      </c>
      <c r="F658">
        <v>1225.54</v>
      </c>
      <c r="G658" s="2">
        <f t="shared" si="30"/>
        <v>1225.54</v>
      </c>
      <c r="H658">
        <v>3</v>
      </c>
      <c r="I658" s="3">
        <v>0.1</v>
      </c>
      <c r="J658">
        <v>4</v>
      </c>
      <c r="K658">
        <f t="shared" si="31"/>
        <v>3676.62</v>
      </c>
      <c r="L658">
        <f t="shared" si="32"/>
        <v>3308.9580000000001</v>
      </c>
    </row>
    <row r="659" spans="1:12" x14ac:dyDescent="0.2">
      <c r="A659" t="s">
        <v>602</v>
      </c>
      <c r="B659" s="1">
        <v>45821</v>
      </c>
      <c r="C659" t="s">
        <v>32</v>
      </c>
      <c r="D659" t="s">
        <v>21</v>
      </c>
      <c r="E659" t="s">
        <v>56</v>
      </c>
      <c r="F659">
        <v>1708.21</v>
      </c>
      <c r="G659" s="2">
        <f t="shared" si="30"/>
        <v>1708.21</v>
      </c>
      <c r="H659">
        <v>2</v>
      </c>
      <c r="I659" s="3">
        <v>0</v>
      </c>
      <c r="J659">
        <v>4</v>
      </c>
      <c r="K659">
        <f t="shared" si="31"/>
        <v>3416.42</v>
      </c>
      <c r="L659">
        <f t="shared" si="32"/>
        <v>3416.42</v>
      </c>
    </row>
    <row r="660" spans="1:12" x14ac:dyDescent="0.2">
      <c r="A660" t="s">
        <v>261</v>
      </c>
      <c r="B660" s="1">
        <v>45899</v>
      </c>
      <c r="C660" t="s">
        <v>34</v>
      </c>
      <c r="D660" t="s">
        <v>11</v>
      </c>
      <c r="E660" t="s">
        <v>18</v>
      </c>
      <c r="F660">
        <v>1560.96</v>
      </c>
      <c r="G660" s="2">
        <f t="shared" si="30"/>
        <v>1560.96</v>
      </c>
      <c r="H660">
        <v>3</v>
      </c>
      <c r="I660" s="3">
        <v>0.15</v>
      </c>
      <c r="J660">
        <v>4</v>
      </c>
      <c r="K660">
        <f t="shared" si="31"/>
        <v>4682.88</v>
      </c>
      <c r="L660">
        <f t="shared" si="32"/>
        <v>3980.4479999999999</v>
      </c>
    </row>
    <row r="661" spans="1:12" x14ac:dyDescent="0.2">
      <c r="A661" t="s">
        <v>702</v>
      </c>
      <c r="B661" s="1">
        <v>45784</v>
      </c>
      <c r="C661" t="s">
        <v>32</v>
      </c>
      <c r="D661" t="s">
        <v>21</v>
      </c>
      <c r="E661" t="s">
        <v>56</v>
      </c>
      <c r="F661">
        <v>845.65</v>
      </c>
      <c r="G661" s="2">
        <f t="shared" si="30"/>
        <v>845.65</v>
      </c>
      <c r="H661">
        <v>2</v>
      </c>
      <c r="I661" s="3">
        <v>0</v>
      </c>
      <c r="J661" t="s">
        <v>857</v>
      </c>
      <c r="K661">
        <f t="shared" si="31"/>
        <v>1691.3</v>
      </c>
      <c r="L661">
        <f t="shared" si="32"/>
        <v>1691.3</v>
      </c>
    </row>
    <row r="662" spans="1:12" x14ac:dyDescent="0.2">
      <c r="A662" t="s">
        <v>404</v>
      </c>
      <c r="B662" s="1">
        <v>45686</v>
      </c>
      <c r="C662" t="s">
        <v>10</v>
      </c>
      <c r="D662" t="s">
        <v>11</v>
      </c>
      <c r="E662" t="s">
        <v>18</v>
      </c>
      <c r="F662">
        <v>1461.96</v>
      </c>
      <c r="G662" s="2">
        <f t="shared" si="30"/>
        <v>1461.96</v>
      </c>
      <c r="H662">
        <v>2</v>
      </c>
      <c r="I662" s="3">
        <v>0.15</v>
      </c>
      <c r="J662">
        <v>5</v>
      </c>
      <c r="K662">
        <f t="shared" si="31"/>
        <v>2923.92</v>
      </c>
      <c r="L662">
        <f t="shared" si="32"/>
        <v>2485.3319999999999</v>
      </c>
    </row>
    <row r="663" spans="1:12" x14ac:dyDescent="0.2">
      <c r="A663" t="s">
        <v>192</v>
      </c>
      <c r="B663" s="1">
        <v>45746</v>
      </c>
      <c r="C663" t="s">
        <v>43</v>
      </c>
      <c r="D663" t="s">
        <v>15</v>
      </c>
      <c r="E663" t="s">
        <v>18</v>
      </c>
      <c r="F663">
        <v>437.23</v>
      </c>
      <c r="G663" s="2">
        <f t="shared" si="30"/>
        <v>437.23</v>
      </c>
      <c r="H663">
        <v>1</v>
      </c>
      <c r="I663" s="3">
        <v>0</v>
      </c>
      <c r="J663">
        <v>5</v>
      </c>
      <c r="K663">
        <f t="shared" si="31"/>
        <v>437.23</v>
      </c>
      <c r="L663">
        <f t="shared" si="32"/>
        <v>437.23</v>
      </c>
    </row>
    <row r="664" spans="1:12" x14ac:dyDescent="0.2">
      <c r="A664" t="s">
        <v>629</v>
      </c>
      <c r="B664" s="1">
        <v>46015</v>
      </c>
      <c r="C664" t="s">
        <v>10</v>
      </c>
      <c r="D664" t="s">
        <v>11</v>
      </c>
      <c r="E664" t="s">
        <v>30</v>
      </c>
      <c r="F664">
        <v>702.39</v>
      </c>
      <c r="G664" s="2">
        <f t="shared" si="30"/>
        <v>702.39</v>
      </c>
      <c r="H664">
        <v>3</v>
      </c>
      <c r="I664" s="3">
        <v>0.15</v>
      </c>
      <c r="J664">
        <v>1</v>
      </c>
      <c r="K664">
        <f t="shared" si="31"/>
        <v>2107.17</v>
      </c>
      <c r="L664">
        <f t="shared" si="32"/>
        <v>1791.0944999999999</v>
      </c>
    </row>
    <row r="665" spans="1:12" x14ac:dyDescent="0.2">
      <c r="A665" t="s">
        <v>178</v>
      </c>
      <c r="B665" s="1">
        <v>45838</v>
      </c>
      <c r="C665" t="s">
        <v>29</v>
      </c>
      <c r="D665" t="s">
        <v>15</v>
      </c>
      <c r="E665" t="s">
        <v>30</v>
      </c>
      <c r="F665">
        <v>326.01</v>
      </c>
      <c r="G665" s="2">
        <f t="shared" si="30"/>
        <v>326.01</v>
      </c>
      <c r="H665">
        <v>1</v>
      </c>
      <c r="I665" s="3">
        <v>0.15</v>
      </c>
      <c r="J665">
        <v>4</v>
      </c>
      <c r="K665">
        <f t="shared" si="31"/>
        <v>326.01</v>
      </c>
      <c r="L665">
        <f t="shared" si="32"/>
        <v>277.10849999999999</v>
      </c>
    </row>
    <row r="666" spans="1:12" x14ac:dyDescent="0.2">
      <c r="A666" t="s">
        <v>525</v>
      </c>
      <c r="B666" s="1">
        <v>45910</v>
      </c>
      <c r="C666" t="s">
        <v>10</v>
      </c>
      <c r="D666" t="s">
        <v>11</v>
      </c>
      <c r="E666" t="s">
        <v>18</v>
      </c>
      <c r="F666">
        <v>1110.8499999999999</v>
      </c>
      <c r="G666" s="2">
        <f t="shared" si="30"/>
        <v>1110.8499999999999</v>
      </c>
      <c r="H666">
        <v>2</v>
      </c>
      <c r="I666" s="3">
        <v>0</v>
      </c>
      <c r="J666">
        <v>5</v>
      </c>
      <c r="K666">
        <f t="shared" si="31"/>
        <v>2221.6999999999998</v>
      </c>
      <c r="L666">
        <f t="shared" si="32"/>
        <v>2221.6999999999998</v>
      </c>
    </row>
    <row r="667" spans="1:12" x14ac:dyDescent="0.2">
      <c r="A667" t="s">
        <v>690</v>
      </c>
      <c r="B667" s="1">
        <v>45686</v>
      </c>
      <c r="C667" t="s">
        <v>34</v>
      </c>
      <c r="D667" t="s">
        <v>11</v>
      </c>
      <c r="E667" t="s">
        <v>56</v>
      </c>
      <c r="F667">
        <v>862.2</v>
      </c>
      <c r="G667" s="2">
        <f t="shared" si="30"/>
        <v>862.2</v>
      </c>
      <c r="H667">
        <v>2</v>
      </c>
      <c r="I667" s="3">
        <v>0.15</v>
      </c>
      <c r="J667">
        <v>4</v>
      </c>
      <c r="K667">
        <f t="shared" si="31"/>
        <v>1724.4</v>
      </c>
      <c r="L667">
        <f t="shared" si="32"/>
        <v>1465.74</v>
      </c>
    </row>
    <row r="668" spans="1:12" x14ac:dyDescent="0.2">
      <c r="A668" t="s">
        <v>613</v>
      </c>
      <c r="B668" s="1">
        <v>45902</v>
      </c>
      <c r="C668" t="s">
        <v>34</v>
      </c>
      <c r="D668" t="s">
        <v>11</v>
      </c>
      <c r="E668" t="s">
        <v>56</v>
      </c>
      <c r="F668">
        <v>1013.32</v>
      </c>
      <c r="G668" s="2">
        <f t="shared" si="30"/>
        <v>1013.32</v>
      </c>
      <c r="H668">
        <v>1</v>
      </c>
      <c r="I668" s="3">
        <v>0</v>
      </c>
      <c r="J668">
        <v>4</v>
      </c>
      <c r="K668">
        <f t="shared" si="31"/>
        <v>1013.32</v>
      </c>
      <c r="L668">
        <f t="shared" si="32"/>
        <v>1013.32</v>
      </c>
    </row>
    <row r="669" spans="1:12" x14ac:dyDescent="0.2">
      <c r="A669" t="s">
        <v>684</v>
      </c>
      <c r="B669" s="1">
        <v>45832</v>
      </c>
      <c r="C669" t="s">
        <v>10</v>
      </c>
      <c r="D669" t="s">
        <v>11</v>
      </c>
      <c r="E669" t="s">
        <v>30</v>
      </c>
      <c r="F669">
        <v>933.46</v>
      </c>
      <c r="G669" s="2">
        <f t="shared" si="30"/>
        <v>933.46</v>
      </c>
      <c r="H669">
        <v>1</v>
      </c>
      <c r="I669" s="3">
        <v>0</v>
      </c>
      <c r="J669">
        <v>1</v>
      </c>
      <c r="K669">
        <f t="shared" si="31"/>
        <v>933.46</v>
      </c>
      <c r="L669">
        <f t="shared" si="32"/>
        <v>933.46</v>
      </c>
    </row>
    <row r="670" spans="1:12" x14ac:dyDescent="0.2">
      <c r="A670" t="s">
        <v>632</v>
      </c>
      <c r="B670" s="1">
        <v>45958</v>
      </c>
      <c r="C670" t="s">
        <v>34</v>
      </c>
      <c r="D670" t="s">
        <v>11</v>
      </c>
      <c r="E670" t="s">
        <v>30</v>
      </c>
      <c r="F670">
        <v>1620.54</v>
      </c>
      <c r="G670" s="2">
        <f t="shared" si="30"/>
        <v>1620.54</v>
      </c>
      <c r="H670">
        <v>1</v>
      </c>
      <c r="I670" s="3">
        <v>0</v>
      </c>
      <c r="J670" t="s">
        <v>857</v>
      </c>
      <c r="K670">
        <f t="shared" si="31"/>
        <v>1620.54</v>
      </c>
      <c r="L670">
        <f t="shared" si="32"/>
        <v>1620.54</v>
      </c>
    </row>
    <row r="671" spans="1:12" x14ac:dyDescent="0.2">
      <c r="A671" t="s">
        <v>750</v>
      </c>
      <c r="B671" s="1">
        <v>45695</v>
      </c>
      <c r="C671" t="s">
        <v>10</v>
      </c>
      <c r="D671" t="s">
        <v>11</v>
      </c>
      <c r="E671" t="s">
        <v>860</v>
      </c>
      <c r="F671">
        <v>1424.56</v>
      </c>
      <c r="G671" s="2">
        <f t="shared" si="30"/>
        <v>1424.56</v>
      </c>
      <c r="H671">
        <v>3</v>
      </c>
      <c r="I671" s="3">
        <v>0.2</v>
      </c>
      <c r="J671">
        <v>5</v>
      </c>
      <c r="K671">
        <f t="shared" si="31"/>
        <v>4273.68</v>
      </c>
      <c r="L671">
        <f t="shared" si="32"/>
        <v>3418.9440000000004</v>
      </c>
    </row>
    <row r="672" spans="1:12" x14ac:dyDescent="0.2">
      <c r="A672" t="s">
        <v>303</v>
      </c>
      <c r="B672" s="1">
        <v>45830</v>
      </c>
      <c r="C672" t="s">
        <v>856</v>
      </c>
      <c r="D672" t="s">
        <v>11</v>
      </c>
      <c r="E672" t="s">
        <v>56</v>
      </c>
      <c r="F672">
        <v>1505.17</v>
      </c>
      <c r="G672" s="2">
        <f t="shared" si="30"/>
        <v>1505.17</v>
      </c>
      <c r="H672">
        <v>2</v>
      </c>
      <c r="I672" s="3">
        <v>0</v>
      </c>
      <c r="J672">
        <v>3</v>
      </c>
      <c r="K672">
        <f t="shared" si="31"/>
        <v>3010.34</v>
      </c>
      <c r="L672">
        <f t="shared" si="32"/>
        <v>3010.34</v>
      </c>
    </row>
    <row r="673" spans="1:12" x14ac:dyDescent="0.2">
      <c r="A673" t="s">
        <v>144</v>
      </c>
      <c r="B673" s="1">
        <v>45881</v>
      </c>
      <c r="C673" t="s">
        <v>32</v>
      </c>
      <c r="D673" t="s">
        <v>21</v>
      </c>
      <c r="E673" t="s">
        <v>30</v>
      </c>
      <c r="F673">
        <v>2059.8000000000002</v>
      </c>
      <c r="G673" s="2">
        <f t="shared" si="30"/>
        <v>2059.8000000000002</v>
      </c>
      <c r="H673">
        <v>10</v>
      </c>
      <c r="I673" s="3">
        <v>0.2</v>
      </c>
      <c r="J673">
        <v>5</v>
      </c>
      <c r="K673">
        <f t="shared" si="31"/>
        <v>20598</v>
      </c>
      <c r="L673">
        <f t="shared" si="32"/>
        <v>16478.400000000001</v>
      </c>
    </row>
    <row r="674" spans="1:12" x14ac:dyDescent="0.2">
      <c r="A674" t="s">
        <v>392</v>
      </c>
      <c r="B674" s="1">
        <v>45945</v>
      </c>
      <c r="C674" t="s">
        <v>32</v>
      </c>
      <c r="D674" t="s">
        <v>21</v>
      </c>
      <c r="E674" t="s">
        <v>30</v>
      </c>
      <c r="F674">
        <v>1393.54</v>
      </c>
      <c r="G674" s="2">
        <f t="shared" si="30"/>
        <v>1393.54</v>
      </c>
      <c r="H674">
        <v>3</v>
      </c>
      <c r="I674" s="3">
        <v>0</v>
      </c>
      <c r="J674">
        <v>3</v>
      </c>
      <c r="K674">
        <f t="shared" si="31"/>
        <v>4180.62</v>
      </c>
      <c r="L674">
        <f t="shared" si="32"/>
        <v>4180.62</v>
      </c>
    </row>
    <row r="675" spans="1:12" x14ac:dyDescent="0.2">
      <c r="A675" t="s">
        <v>547</v>
      </c>
      <c r="B675" s="1">
        <v>46010</v>
      </c>
      <c r="C675" t="s">
        <v>54</v>
      </c>
      <c r="D675" t="s">
        <v>15</v>
      </c>
      <c r="E675" t="s">
        <v>18</v>
      </c>
      <c r="F675">
        <v>313.27999999999997</v>
      </c>
      <c r="G675" s="2">
        <f t="shared" si="30"/>
        <v>313.27999999999997</v>
      </c>
      <c r="H675">
        <v>2</v>
      </c>
      <c r="I675" s="3">
        <v>0</v>
      </c>
      <c r="J675">
        <v>3</v>
      </c>
      <c r="K675">
        <f t="shared" si="31"/>
        <v>626.55999999999995</v>
      </c>
      <c r="L675">
        <f t="shared" si="32"/>
        <v>626.55999999999995</v>
      </c>
    </row>
    <row r="676" spans="1:12" x14ac:dyDescent="0.2">
      <c r="A676" t="s">
        <v>644</v>
      </c>
      <c r="B676" s="1">
        <v>46017</v>
      </c>
      <c r="C676" t="s">
        <v>29</v>
      </c>
      <c r="D676" t="s">
        <v>15</v>
      </c>
      <c r="E676" t="s">
        <v>56</v>
      </c>
      <c r="F676">
        <v>384.26</v>
      </c>
      <c r="G676" s="2">
        <f t="shared" si="30"/>
        <v>384.26</v>
      </c>
      <c r="H676">
        <v>5</v>
      </c>
      <c r="I676" s="3">
        <v>0.15</v>
      </c>
      <c r="J676">
        <v>1</v>
      </c>
      <c r="K676">
        <f t="shared" si="31"/>
        <v>1921.3</v>
      </c>
      <c r="L676">
        <f t="shared" si="32"/>
        <v>1633.105</v>
      </c>
    </row>
    <row r="677" spans="1:12" x14ac:dyDescent="0.2">
      <c r="A677" t="s">
        <v>601</v>
      </c>
      <c r="B677" s="1">
        <v>45820</v>
      </c>
      <c r="C677" t="s">
        <v>32</v>
      </c>
      <c r="D677" t="s">
        <v>21</v>
      </c>
      <c r="E677" t="s">
        <v>56</v>
      </c>
      <c r="F677">
        <v>1360.03</v>
      </c>
      <c r="G677" s="2">
        <f t="shared" si="30"/>
        <v>1360.03</v>
      </c>
      <c r="H677">
        <v>2</v>
      </c>
      <c r="I677" s="3">
        <v>0.2</v>
      </c>
      <c r="J677">
        <v>2</v>
      </c>
      <c r="K677">
        <f t="shared" si="31"/>
        <v>2720.06</v>
      </c>
      <c r="L677">
        <f t="shared" si="32"/>
        <v>2176.0480000000002</v>
      </c>
    </row>
    <row r="678" spans="1:12" x14ac:dyDescent="0.2">
      <c r="A678" t="s">
        <v>490</v>
      </c>
      <c r="B678" s="1">
        <v>45730</v>
      </c>
      <c r="C678" t="s">
        <v>26</v>
      </c>
      <c r="D678" t="s">
        <v>27</v>
      </c>
      <c r="E678" t="s">
        <v>22</v>
      </c>
      <c r="F678">
        <v>685.56</v>
      </c>
      <c r="G678" s="2">
        <f t="shared" si="30"/>
        <v>685.56</v>
      </c>
      <c r="H678">
        <v>3</v>
      </c>
      <c r="I678" s="3">
        <v>0.2</v>
      </c>
      <c r="J678">
        <v>2</v>
      </c>
      <c r="K678">
        <f t="shared" si="31"/>
        <v>2056.6799999999998</v>
      </c>
      <c r="L678">
        <f t="shared" si="32"/>
        <v>1645.3440000000001</v>
      </c>
    </row>
    <row r="679" spans="1:12" x14ac:dyDescent="0.2">
      <c r="A679" t="s">
        <v>476</v>
      </c>
      <c r="B679" s="1">
        <v>45821</v>
      </c>
      <c r="C679" t="s">
        <v>32</v>
      </c>
      <c r="D679" t="s">
        <v>21</v>
      </c>
      <c r="E679" t="s">
        <v>18</v>
      </c>
      <c r="F679">
        <v>1713.48</v>
      </c>
      <c r="G679" s="2">
        <f t="shared" si="30"/>
        <v>1713.48</v>
      </c>
      <c r="H679">
        <v>1</v>
      </c>
      <c r="I679" s="3">
        <v>0.2</v>
      </c>
      <c r="J679">
        <v>2</v>
      </c>
      <c r="K679">
        <f t="shared" si="31"/>
        <v>1713.48</v>
      </c>
      <c r="L679">
        <f t="shared" si="32"/>
        <v>1370.7840000000001</v>
      </c>
    </row>
    <row r="680" spans="1:12" x14ac:dyDescent="0.2">
      <c r="A680" t="s">
        <v>73</v>
      </c>
      <c r="B680" s="1">
        <v>46001</v>
      </c>
      <c r="C680" t="s">
        <v>10</v>
      </c>
      <c r="D680" t="s">
        <v>11</v>
      </c>
      <c r="E680" t="s">
        <v>860</v>
      </c>
      <c r="F680">
        <v>1110.04</v>
      </c>
      <c r="G680" s="2">
        <f t="shared" si="30"/>
        <v>1110.04</v>
      </c>
      <c r="H680">
        <v>3</v>
      </c>
      <c r="I680" s="3">
        <v>0.1</v>
      </c>
      <c r="J680">
        <v>1</v>
      </c>
      <c r="K680">
        <f t="shared" si="31"/>
        <v>3330.12</v>
      </c>
      <c r="L680">
        <f t="shared" si="32"/>
        <v>2997.1080000000002</v>
      </c>
    </row>
    <row r="681" spans="1:12" x14ac:dyDescent="0.2">
      <c r="A681" t="s">
        <v>470</v>
      </c>
      <c r="B681" s="1">
        <v>45785</v>
      </c>
      <c r="C681" t="s">
        <v>43</v>
      </c>
      <c r="D681" t="s">
        <v>15</v>
      </c>
      <c r="E681" t="s">
        <v>30</v>
      </c>
      <c r="F681">
        <v>399.77</v>
      </c>
      <c r="G681" s="2">
        <f t="shared" si="30"/>
        <v>399.77</v>
      </c>
      <c r="H681">
        <v>1</v>
      </c>
      <c r="I681" s="3">
        <v>0</v>
      </c>
      <c r="J681">
        <v>4</v>
      </c>
      <c r="K681">
        <f t="shared" si="31"/>
        <v>399.77</v>
      </c>
      <c r="L681">
        <f t="shared" si="32"/>
        <v>399.77</v>
      </c>
    </row>
    <row r="682" spans="1:12" x14ac:dyDescent="0.2">
      <c r="A682" t="s">
        <v>676</v>
      </c>
      <c r="B682" s="1">
        <v>45658</v>
      </c>
      <c r="C682" t="s">
        <v>10</v>
      </c>
      <c r="D682" t="s">
        <v>11</v>
      </c>
      <c r="E682" t="s">
        <v>56</v>
      </c>
      <c r="F682">
        <v>1306.6199999999999</v>
      </c>
      <c r="G682" s="2">
        <f t="shared" si="30"/>
        <v>1306.6199999999999</v>
      </c>
      <c r="H682">
        <v>1</v>
      </c>
      <c r="I682" s="3">
        <v>0.1</v>
      </c>
      <c r="J682">
        <v>5</v>
      </c>
      <c r="K682">
        <f t="shared" si="31"/>
        <v>1306.6199999999999</v>
      </c>
      <c r="L682">
        <f t="shared" si="32"/>
        <v>1175.9579999999999</v>
      </c>
    </row>
    <row r="683" spans="1:12" x14ac:dyDescent="0.2">
      <c r="A683" t="s">
        <v>355</v>
      </c>
      <c r="B683" s="1">
        <v>45743</v>
      </c>
      <c r="C683" t="s">
        <v>29</v>
      </c>
      <c r="D683" t="s">
        <v>15</v>
      </c>
      <c r="E683" t="s">
        <v>22</v>
      </c>
      <c r="F683">
        <v>324.73</v>
      </c>
      <c r="G683" s="2">
        <f t="shared" si="30"/>
        <v>324.73</v>
      </c>
      <c r="H683">
        <v>5</v>
      </c>
      <c r="I683" s="3">
        <v>0.1</v>
      </c>
      <c r="J683">
        <v>5</v>
      </c>
      <c r="K683">
        <f t="shared" si="31"/>
        <v>1623.65</v>
      </c>
      <c r="L683">
        <f t="shared" si="32"/>
        <v>1461.2850000000001</v>
      </c>
    </row>
    <row r="684" spans="1:12" x14ac:dyDescent="0.2">
      <c r="A684" t="s">
        <v>333</v>
      </c>
      <c r="B684" s="1">
        <v>45850</v>
      </c>
      <c r="C684" t="s">
        <v>43</v>
      </c>
      <c r="D684" t="s">
        <v>15</v>
      </c>
      <c r="E684" t="s">
        <v>56</v>
      </c>
      <c r="F684">
        <v>431.15</v>
      </c>
      <c r="G684" s="2">
        <f t="shared" si="30"/>
        <v>431.15</v>
      </c>
      <c r="H684">
        <v>1</v>
      </c>
      <c r="I684" s="3">
        <v>0.1</v>
      </c>
      <c r="J684">
        <v>4</v>
      </c>
      <c r="K684">
        <f t="shared" si="31"/>
        <v>431.15</v>
      </c>
      <c r="L684">
        <f t="shared" si="32"/>
        <v>388.03499999999997</v>
      </c>
    </row>
    <row r="685" spans="1:12" x14ac:dyDescent="0.2">
      <c r="A685" t="s">
        <v>561</v>
      </c>
      <c r="B685" s="1">
        <v>45695</v>
      </c>
      <c r="C685" t="s">
        <v>32</v>
      </c>
      <c r="D685" t="s">
        <v>21</v>
      </c>
      <c r="E685" t="s">
        <v>22</v>
      </c>
      <c r="F685">
        <v>1410.82</v>
      </c>
      <c r="G685" s="2">
        <f t="shared" si="30"/>
        <v>1410.82</v>
      </c>
      <c r="H685">
        <v>1</v>
      </c>
      <c r="I685" s="3">
        <v>0</v>
      </c>
      <c r="J685">
        <v>1</v>
      </c>
      <c r="K685">
        <f t="shared" si="31"/>
        <v>1410.82</v>
      </c>
      <c r="L685">
        <f t="shared" si="32"/>
        <v>1410.82</v>
      </c>
    </row>
    <row r="686" spans="1:12" x14ac:dyDescent="0.2">
      <c r="A686" t="s">
        <v>167</v>
      </c>
      <c r="B686" s="1">
        <v>45711</v>
      </c>
      <c r="C686" t="s">
        <v>43</v>
      </c>
      <c r="D686" t="s">
        <v>15</v>
      </c>
      <c r="E686" t="s">
        <v>18</v>
      </c>
      <c r="F686">
        <v>393.12</v>
      </c>
      <c r="G686" s="2">
        <f t="shared" si="30"/>
        <v>393.12</v>
      </c>
      <c r="H686">
        <v>1</v>
      </c>
      <c r="I686" s="3">
        <v>0</v>
      </c>
      <c r="J686">
        <v>3</v>
      </c>
      <c r="K686">
        <f t="shared" si="31"/>
        <v>393.12</v>
      </c>
      <c r="L686">
        <f t="shared" si="32"/>
        <v>393.12</v>
      </c>
    </row>
    <row r="687" spans="1:12" x14ac:dyDescent="0.2">
      <c r="A687" t="s">
        <v>488</v>
      </c>
      <c r="B687" s="1">
        <v>45740</v>
      </c>
      <c r="C687" t="s">
        <v>26</v>
      </c>
      <c r="D687" t="s">
        <v>27</v>
      </c>
      <c r="E687" t="s">
        <v>22</v>
      </c>
      <c r="F687">
        <v>671.17</v>
      </c>
      <c r="G687" s="2">
        <f t="shared" si="30"/>
        <v>671.17</v>
      </c>
      <c r="H687">
        <v>1</v>
      </c>
      <c r="I687" s="3">
        <v>0.15</v>
      </c>
      <c r="J687">
        <v>2</v>
      </c>
      <c r="K687">
        <f t="shared" si="31"/>
        <v>671.17</v>
      </c>
      <c r="L687">
        <f t="shared" si="32"/>
        <v>570.4944999999999</v>
      </c>
    </row>
    <row r="688" spans="1:12" x14ac:dyDescent="0.2">
      <c r="A688" t="s">
        <v>124</v>
      </c>
      <c r="B688" s="1">
        <v>45972</v>
      </c>
      <c r="C688" t="s">
        <v>43</v>
      </c>
      <c r="D688" t="s">
        <v>15</v>
      </c>
      <c r="E688" t="s">
        <v>56</v>
      </c>
      <c r="G688" s="2">
        <f t="shared" si="30"/>
        <v>362.89299999999997</v>
      </c>
      <c r="H688">
        <v>10</v>
      </c>
      <c r="I688" s="3">
        <v>0.2</v>
      </c>
      <c r="J688">
        <v>1</v>
      </c>
      <c r="K688">
        <f t="shared" si="31"/>
        <v>3628.93</v>
      </c>
      <c r="L688">
        <f t="shared" si="32"/>
        <v>2903.1440000000002</v>
      </c>
    </row>
    <row r="689" spans="1:12" x14ac:dyDescent="0.2">
      <c r="A689" t="s">
        <v>581</v>
      </c>
      <c r="B689" s="1">
        <v>45742</v>
      </c>
      <c r="C689" t="s">
        <v>54</v>
      </c>
      <c r="D689" t="s">
        <v>15</v>
      </c>
      <c r="E689" t="s">
        <v>30</v>
      </c>
      <c r="F689">
        <v>372.83</v>
      </c>
      <c r="G689" s="2">
        <f t="shared" si="30"/>
        <v>372.83</v>
      </c>
      <c r="H689">
        <v>5</v>
      </c>
      <c r="I689" s="3">
        <v>0</v>
      </c>
      <c r="J689">
        <v>1</v>
      </c>
      <c r="K689">
        <f t="shared" si="31"/>
        <v>1864.1499999999999</v>
      </c>
      <c r="L689">
        <f t="shared" si="32"/>
        <v>1864.1499999999999</v>
      </c>
    </row>
    <row r="690" spans="1:12" x14ac:dyDescent="0.2">
      <c r="A690" t="s">
        <v>784</v>
      </c>
      <c r="B690" s="1">
        <v>45763</v>
      </c>
      <c r="C690" t="s">
        <v>34</v>
      </c>
      <c r="D690" t="s">
        <v>11</v>
      </c>
      <c r="E690" t="s">
        <v>18</v>
      </c>
      <c r="F690">
        <v>899.73</v>
      </c>
      <c r="G690" s="2">
        <f t="shared" si="30"/>
        <v>899.73</v>
      </c>
      <c r="H690">
        <v>2</v>
      </c>
      <c r="I690" s="3">
        <v>0.1</v>
      </c>
      <c r="J690" t="s">
        <v>857</v>
      </c>
      <c r="K690">
        <f t="shared" si="31"/>
        <v>1799.46</v>
      </c>
      <c r="L690">
        <f t="shared" si="32"/>
        <v>1619.5140000000001</v>
      </c>
    </row>
    <row r="691" spans="1:12" x14ac:dyDescent="0.2">
      <c r="A691" t="s">
        <v>255</v>
      </c>
      <c r="B691" s="1">
        <v>45934</v>
      </c>
      <c r="C691" t="s">
        <v>29</v>
      </c>
      <c r="D691" t="s">
        <v>15</v>
      </c>
      <c r="E691" t="s">
        <v>30</v>
      </c>
      <c r="F691">
        <v>414.68</v>
      </c>
      <c r="G691" s="2">
        <f t="shared" si="30"/>
        <v>414.68</v>
      </c>
      <c r="H691">
        <v>2</v>
      </c>
      <c r="I691" s="3">
        <v>0.2</v>
      </c>
      <c r="J691">
        <v>4</v>
      </c>
      <c r="K691">
        <f t="shared" si="31"/>
        <v>829.36</v>
      </c>
      <c r="L691">
        <f t="shared" si="32"/>
        <v>663.48800000000006</v>
      </c>
    </row>
    <row r="692" spans="1:12" x14ac:dyDescent="0.2">
      <c r="A692" t="s">
        <v>362</v>
      </c>
      <c r="B692" s="1">
        <v>45707</v>
      </c>
      <c r="C692" t="s">
        <v>43</v>
      </c>
      <c r="D692" t="s">
        <v>15</v>
      </c>
      <c r="E692" t="s">
        <v>30</v>
      </c>
      <c r="F692">
        <v>337.06</v>
      </c>
      <c r="G692" s="2">
        <f t="shared" si="30"/>
        <v>337.06</v>
      </c>
      <c r="H692">
        <v>1</v>
      </c>
      <c r="I692" s="3">
        <v>0.1</v>
      </c>
      <c r="J692" t="s">
        <v>857</v>
      </c>
      <c r="K692">
        <f t="shared" si="31"/>
        <v>337.06</v>
      </c>
      <c r="L692">
        <f t="shared" si="32"/>
        <v>303.35399999999998</v>
      </c>
    </row>
    <row r="693" spans="1:12" x14ac:dyDescent="0.2">
      <c r="A693" t="s">
        <v>467</v>
      </c>
      <c r="B693" s="1">
        <v>45736</v>
      </c>
      <c r="C693" t="s">
        <v>10</v>
      </c>
      <c r="D693" t="s">
        <v>11</v>
      </c>
      <c r="E693" t="s">
        <v>22</v>
      </c>
      <c r="F693">
        <v>1074.55</v>
      </c>
      <c r="G693" s="2">
        <f t="shared" si="30"/>
        <v>1074.55</v>
      </c>
      <c r="H693">
        <v>1</v>
      </c>
      <c r="I693" s="3">
        <v>0</v>
      </c>
      <c r="J693">
        <v>1</v>
      </c>
      <c r="K693">
        <f t="shared" si="31"/>
        <v>1074.55</v>
      </c>
      <c r="L693">
        <f t="shared" si="32"/>
        <v>1074.55</v>
      </c>
    </row>
    <row r="694" spans="1:12" x14ac:dyDescent="0.2">
      <c r="A694" t="s">
        <v>309</v>
      </c>
      <c r="B694" s="1">
        <v>45808</v>
      </c>
      <c r="C694" t="s">
        <v>54</v>
      </c>
      <c r="D694" t="s">
        <v>15</v>
      </c>
      <c r="E694" t="s">
        <v>56</v>
      </c>
      <c r="F694">
        <v>423.43</v>
      </c>
      <c r="G694" s="2">
        <f t="shared" si="30"/>
        <v>423.43</v>
      </c>
      <c r="H694">
        <v>10</v>
      </c>
      <c r="I694" s="3">
        <v>0</v>
      </c>
      <c r="J694">
        <v>2</v>
      </c>
      <c r="K694">
        <f t="shared" si="31"/>
        <v>4234.3</v>
      </c>
      <c r="L694">
        <f t="shared" si="32"/>
        <v>4234.3</v>
      </c>
    </row>
    <row r="695" spans="1:12" x14ac:dyDescent="0.2">
      <c r="A695" t="s">
        <v>507</v>
      </c>
      <c r="B695" s="1">
        <v>45745</v>
      </c>
      <c r="C695" t="s">
        <v>34</v>
      </c>
      <c r="D695" t="s">
        <v>11</v>
      </c>
      <c r="E695" t="s">
        <v>30</v>
      </c>
      <c r="F695">
        <v>1030.96</v>
      </c>
      <c r="G695" s="2">
        <f t="shared" si="30"/>
        <v>1030.96</v>
      </c>
      <c r="H695">
        <v>2</v>
      </c>
      <c r="I695" s="3">
        <v>0</v>
      </c>
      <c r="J695">
        <v>5</v>
      </c>
      <c r="K695">
        <f t="shared" si="31"/>
        <v>2061.92</v>
      </c>
      <c r="L695">
        <f t="shared" si="32"/>
        <v>2061.92</v>
      </c>
    </row>
    <row r="696" spans="1:12" x14ac:dyDescent="0.2">
      <c r="A696" t="s">
        <v>212</v>
      </c>
      <c r="B696" s="1">
        <v>45815</v>
      </c>
      <c r="C696" t="s">
        <v>10</v>
      </c>
      <c r="D696" t="s">
        <v>11</v>
      </c>
      <c r="E696" t="s">
        <v>56</v>
      </c>
      <c r="F696">
        <v>861.97</v>
      </c>
      <c r="G696" s="2">
        <f t="shared" si="30"/>
        <v>861.97</v>
      </c>
      <c r="H696">
        <v>5</v>
      </c>
      <c r="I696" s="3">
        <v>0.1</v>
      </c>
      <c r="J696">
        <v>5</v>
      </c>
      <c r="K696">
        <f t="shared" si="31"/>
        <v>4309.8500000000004</v>
      </c>
      <c r="L696">
        <f t="shared" si="32"/>
        <v>3878.8650000000002</v>
      </c>
    </row>
    <row r="697" spans="1:12" x14ac:dyDescent="0.2">
      <c r="A697" t="s">
        <v>808</v>
      </c>
      <c r="B697" s="1">
        <v>45793</v>
      </c>
      <c r="C697" t="s">
        <v>26</v>
      </c>
      <c r="D697" t="s">
        <v>27</v>
      </c>
      <c r="E697" t="s">
        <v>30</v>
      </c>
      <c r="F697">
        <v>413.2</v>
      </c>
      <c r="G697" s="2">
        <f t="shared" si="30"/>
        <v>413.2</v>
      </c>
      <c r="H697">
        <v>1</v>
      </c>
      <c r="I697" s="3">
        <v>0.2</v>
      </c>
      <c r="J697" t="s">
        <v>857</v>
      </c>
      <c r="K697">
        <f t="shared" si="31"/>
        <v>413.2</v>
      </c>
      <c r="L697">
        <f t="shared" si="32"/>
        <v>330.56</v>
      </c>
    </row>
    <row r="698" spans="1:12" x14ac:dyDescent="0.2">
      <c r="A698" t="s">
        <v>656</v>
      </c>
      <c r="B698" s="1">
        <v>45847</v>
      </c>
      <c r="C698" t="s">
        <v>54</v>
      </c>
      <c r="D698" t="s">
        <v>15</v>
      </c>
      <c r="E698" t="s">
        <v>30</v>
      </c>
      <c r="F698">
        <v>392.42</v>
      </c>
      <c r="G698" s="2">
        <f t="shared" si="30"/>
        <v>392.42</v>
      </c>
      <c r="H698">
        <v>5</v>
      </c>
      <c r="I698" s="3">
        <v>0</v>
      </c>
      <c r="J698">
        <v>3</v>
      </c>
      <c r="K698">
        <f t="shared" si="31"/>
        <v>1962.1000000000001</v>
      </c>
      <c r="L698">
        <f t="shared" si="32"/>
        <v>1962.1000000000001</v>
      </c>
    </row>
    <row r="699" spans="1:12" x14ac:dyDescent="0.2">
      <c r="A699" t="s">
        <v>716</v>
      </c>
      <c r="B699" s="1">
        <v>45792</v>
      </c>
      <c r="C699" t="s">
        <v>14</v>
      </c>
      <c r="D699" t="s">
        <v>15</v>
      </c>
      <c r="E699" t="s">
        <v>56</v>
      </c>
      <c r="F699">
        <v>260.37</v>
      </c>
      <c r="G699" s="2">
        <f t="shared" si="30"/>
        <v>260.37</v>
      </c>
      <c r="H699">
        <v>10</v>
      </c>
      <c r="I699" s="3">
        <v>0.1</v>
      </c>
      <c r="J699">
        <v>4</v>
      </c>
      <c r="K699">
        <f t="shared" si="31"/>
        <v>2603.6999999999998</v>
      </c>
      <c r="L699">
        <f t="shared" si="32"/>
        <v>2343.33</v>
      </c>
    </row>
    <row r="700" spans="1:12" x14ac:dyDescent="0.2">
      <c r="A700" t="s">
        <v>430</v>
      </c>
      <c r="B700" s="1">
        <v>45795</v>
      </c>
      <c r="C700" t="s">
        <v>32</v>
      </c>
      <c r="D700" t="s">
        <v>21</v>
      </c>
      <c r="E700" t="s">
        <v>18</v>
      </c>
      <c r="F700">
        <v>2431.73</v>
      </c>
      <c r="G700" s="2">
        <f t="shared" si="30"/>
        <v>2431.73</v>
      </c>
      <c r="H700">
        <v>1</v>
      </c>
      <c r="I700" s="3">
        <v>0</v>
      </c>
      <c r="J700">
        <v>2</v>
      </c>
      <c r="K700">
        <f t="shared" si="31"/>
        <v>2431.73</v>
      </c>
      <c r="L700">
        <f t="shared" si="32"/>
        <v>2431.73</v>
      </c>
    </row>
    <row r="701" spans="1:12" x14ac:dyDescent="0.2">
      <c r="A701" t="s">
        <v>184</v>
      </c>
      <c r="B701" s="1">
        <v>45834</v>
      </c>
      <c r="C701" t="s">
        <v>34</v>
      </c>
      <c r="D701" t="s">
        <v>11</v>
      </c>
      <c r="E701" t="s">
        <v>30</v>
      </c>
      <c r="F701">
        <v>700.34</v>
      </c>
      <c r="G701" s="2">
        <f t="shared" si="30"/>
        <v>700.34</v>
      </c>
      <c r="H701">
        <v>5</v>
      </c>
      <c r="I701" s="3">
        <v>0.15</v>
      </c>
      <c r="J701">
        <v>4</v>
      </c>
      <c r="K701">
        <f t="shared" si="31"/>
        <v>3501.7000000000003</v>
      </c>
      <c r="L701">
        <f t="shared" si="32"/>
        <v>2976.4450000000002</v>
      </c>
    </row>
    <row r="702" spans="1:12" x14ac:dyDescent="0.2">
      <c r="A702" t="s">
        <v>300</v>
      </c>
      <c r="B702" s="1">
        <v>45856</v>
      </c>
      <c r="C702" t="s">
        <v>17</v>
      </c>
      <c r="D702" t="s">
        <v>11</v>
      </c>
      <c r="E702" t="s">
        <v>860</v>
      </c>
      <c r="F702">
        <v>1607.15</v>
      </c>
      <c r="G702" s="2">
        <f t="shared" si="30"/>
        <v>1607.15</v>
      </c>
      <c r="H702">
        <v>5</v>
      </c>
      <c r="I702" s="3">
        <v>0.15</v>
      </c>
      <c r="J702">
        <v>5</v>
      </c>
      <c r="K702">
        <f t="shared" si="31"/>
        <v>8035.75</v>
      </c>
      <c r="L702">
        <f t="shared" si="32"/>
        <v>6830.3874999999998</v>
      </c>
    </row>
    <row r="703" spans="1:12" x14ac:dyDescent="0.2">
      <c r="A703" t="s">
        <v>278</v>
      </c>
      <c r="B703" s="1">
        <v>45901</v>
      </c>
      <c r="C703" t="s">
        <v>856</v>
      </c>
      <c r="D703" t="s">
        <v>11</v>
      </c>
      <c r="E703" t="s">
        <v>30</v>
      </c>
      <c r="F703">
        <v>1250.6400000000001</v>
      </c>
      <c r="G703" s="2">
        <f t="shared" si="30"/>
        <v>1250.6400000000001</v>
      </c>
      <c r="H703">
        <v>2</v>
      </c>
      <c r="I703" s="3">
        <v>0</v>
      </c>
      <c r="J703">
        <v>5</v>
      </c>
      <c r="K703">
        <f t="shared" si="31"/>
        <v>2501.2800000000002</v>
      </c>
      <c r="L703">
        <f t="shared" si="32"/>
        <v>2501.2800000000002</v>
      </c>
    </row>
    <row r="704" spans="1:12" x14ac:dyDescent="0.2">
      <c r="A704" t="s">
        <v>75</v>
      </c>
      <c r="B704" s="1">
        <v>45675</v>
      </c>
      <c r="C704" t="s">
        <v>26</v>
      </c>
      <c r="D704" t="s">
        <v>27</v>
      </c>
      <c r="E704" t="s">
        <v>18</v>
      </c>
      <c r="F704">
        <v>588.39</v>
      </c>
      <c r="G704" s="2">
        <f t="shared" si="30"/>
        <v>588.39</v>
      </c>
      <c r="H704">
        <v>1</v>
      </c>
      <c r="I704" s="3">
        <v>0</v>
      </c>
      <c r="J704">
        <v>5</v>
      </c>
      <c r="K704">
        <f t="shared" si="31"/>
        <v>588.39</v>
      </c>
      <c r="L704">
        <f t="shared" si="32"/>
        <v>588.39</v>
      </c>
    </row>
    <row r="705" spans="1:12" x14ac:dyDescent="0.2">
      <c r="A705" t="s">
        <v>380</v>
      </c>
      <c r="B705" s="1">
        <v>45766</v>
      </c>
      <c r="C705" t="s">
        <v>32</v>
      </c>
      <c r="D705" t="s">
        <v>21</v>
      </c>
      <c r="E705" t="s">
        <v>30</v>
      </c>
      <c r="F705">
        <v>1603.83</v>
      </c>
      <c r="G705" s="2">
        <f t="shared" si="30"/>
        <v>1603.83</v>
      </c>
      <c r="H705">
        <v>2</v>
      </c>
      <c r="I705" s="3">
        <v>0</v>
      </c>
      <c r="J705">
        <v>1</v>
      </c>
      <c r="K705">
        <f t="shared" si="31"/>
        <v>3207.66</v>
      </c>
      <c r="L705">
        <f t="shared" si="32"/>
        <v>3207.66</v>
      </c>
    </row>
    <row r="706" spans="1:12" x14ac:dyDescent="0.2">
      <c r="A706" t="s">
        <v>504</v>
      </c>
      <c r="B706" s="1">
        <v>46007</v>
      </c>
      <c r="C706" t="s">
        <v>54</v>
      </c>
      <c r="D706" t="s">
        <v>15</v>
      </c>
      <c r="E706" t="s">
        <v>56</v>
      </c>
      <c r="F706">
        <v>377.94</v>
      </c>
      <c r="G706" s="2">
        <f t="shared" ref="G706:G769" si="33">IF(F706="", AVERAGEIF(C:C, C706, F:F), F706)</f>
        <v>377.94</v>
      </c>
      <c r="H706">
        <v>5</v>
      </c>
      <c r="I706" s="3">
        <v>0</v>
      </c>
      <c r="J706">
        <v>3</v>
      </c>
      <c r="K706">
        <f t="shared" si="31"/>
        <v>1889.7</v>
      </c>
      <c r="L706">
        <f t="shared" si="32"/>
        <v>1889.7</v>
      </c>
    </row>
    <row r="707" spans="1:12" x14ac:dyDescent="0.2">
      <c r="A707" t="s">
        <v>236</v>
      </c>
      <c r="B707" s="1">
        <v>45790</v>
      </c>
      <c r="C707" t="s">
        <v>10</v>
      </c>
      <c r="D707" t="s">
        <v>11</v>
      </c>
      <c r="E707" t="s">
        <v>56</v>
      </c>
      <c r="F707">
        <v>1190.97</v>
      </c>
      <c r="G707" s="2">
        <f t="shared" si="33"/>
        <v>1190.97</v>
      </c>
      <c r="H707">
        <v>3</v>
      </c>
      <c r="I707" s="3">
        <v>0.2</v>
      </c>
      <c r="J707">
        <v>2</v>
      </c>
      <c r="K707">
        <f t="shared" ref="K707:K770" si="34">G707*H707</f>
        <v>3572.91</v>
      </c>
      <c r="L707">
        <f t="shared" ref="L707:L770" si="35">G707*H707*(1-I707)</f>
        <v>2858.328</v>
      </c>
    </row>
    <row r="708" spans="1:12" x14ac:dyDescent="0.2">
      <c r="A708" t="s">
        <v>563</v>
      </c>
      <c r="B708" s="1">
        <v>45942</v>
      </c>
      <c r="C708" t="s">
        <v>34</v>
      </c>
      <c r="D708" t="s">
        <v>11</v>
      </c>
      <c r="E708" t="s">
        <v>22</v>
      </c>
      <c r="F708">
        <v>1464.79</v>
      </c>
      <c r="G708" s="2">
        <f t="shared" si="33"/>
        <v>1464.79</v>
      </c>
      <c r="H708">
        <v>5</v>
      </c>
      <c r="I708" s="3">
        <v>0.15</v>
      </c>
      <c r="J708">
        <v>5</v>
      </c>
      <c r="K708">
        <f t="shared" si="34"/>
        <v>7323.95</v>
      </c>
      <c r="L708">
        <f t="shared" si="35"/>
        <v>6225.3575000000001</v>
      </c>
    </row>
    <row r="709" spans="1:12" x14ac:dyDescent="0.2">
      <c r="A709" t="s">
        <v>408</v>
      </c>
      <c r="B709" s="1">
        <v>45924</v>
      </c>
      <c r="C709" t="s">
        <v>10</v>
      </c>
      <c r="D709" t="s">
        <v>11</v>
      </c>
      <c r="E709" t="s">
        <v>18</v>
      </c>
      <c r="F709">
        <v>1227.4100000000001</v>
      </c>
      <c r="G709" s="2">
        <f t="shared" si="33"/>
        <v>1227.4100000000001</v>
      </c>
      <c r="H709">
        <v>10</v>
      </c>
      <c r="I709" s="3">
        <v>0</v>
      </c>
      <c r="J709" t="s">
        <v>857</v>
      </c>
      <c r="K709">
        <f t="shared" si="34"/>
        <v>12274.1</v>
      </c>
      <c r="L709">
        <f t="shared" si="35"/>
        <v>12274.1</v>
      </c>
    </row>
    <row r="710" spans="1:12" x14ac:dyDescent="0.2">
      <c r="A710" t="s">
        <v>374</v>
      </c>
      <c r="B710" s="1">
        <v>45715</v>
      </c>
      <c r="C710" t="s">
        <v>10</v>
      </c>
      <c r="D710" t="s">
        <v>11</v>
      </c>
      <c r="E710" t="s">
        <v>22</v>
      </c>
      <c r="F710">
        <v>1236.07</v>
      </c>
      <c r="G710" s="2">
        <f t="shared" si="33"/>
        <v>1236.07</v>
      </c>
      <c r="H710">
        <v>5</v>
      </c>
      <c r="I710" s="3">
        <v>0</v>
      </c>
      <c r="J710">
        <v>3</v>
      </c>
      <c r="K710">
        <f t="shared" si="34"/>
        <v>6180.3499999999995</v>
      </c>
      <c r="L710">
        <f t="shared" si="35"/>
        <v>6180.3499999999995</v>
      </c>
    </row>
    <row r="711" spans="1:12" x14ac:dyDescent="0.2">
      <c r="A711" t="s">
        <v>751</v>
      </c>
      <c r="B711" s="1">
        <v>45956</v>
      </c>
      <c r="C711" t="s">
        <v>856</v>
      </c>
      <c r="D711" t="s">
        <v>11</v>
      </c>
      <c r="E711" t="s">
        <v>56</v>
      </c>
      <c r="F711">
        <v>1112.73</v>
      </c>
      <c r="G711" s="2">
        <f t="shared" si="33"/>
        <v>1112.73</v>
      </c>
      <c r="H711">
        <v>1</v>
      </c>
      <c r="I711" s="3">
        <v>0</v>
      </c>
      <c r="J711">
        <v>2</v>
      </c>
      <c r="K711">
        <f t="shared" si="34"/>
        <v>1112.73</v>
      </c>
      <c r="L711">
        <f t="shared" si="35"/>
        <v>1112.73</v>
      </c>
    </row>
    <row r="712" spans="1:12" x14ac:dyDescent="0.2">
      <c r="A712" t="s">
        <v>141</v>
      </c>
      <c r="B712" s="1">
        <v>45932</v>
      </c>
      <c r="C712" t="s">
        <v>10</v>
      </c>
      <c r="D712" t="s">
        <v>11</v>
      </c>
      <c r="E712" t="s">
        <v>18</v>
      </c>
      <c r="F712">
        <v>1186.33</v>
      </c>
      <c r="G712" s="2">
        <f t="shared" si="33"/>
        <v>1186.33</v>
      </c>
      <c r="H712">
        <v>3</v>
      </c>
      <c r="I712" s="3">
        <v>0.1</v>
      </c>
      <c r="J712">
        <v>4</v>
      </c>
      <c r="K712">
        <f t="shared" si="34"/>
        <v>3558.99</v>
      </c>
      <c r="L712">
        <f t="shared" si="35"/>
        <v>3203.0909999999999</v>
      </c>
    </row>
    <row r="713" spans="1:12" x14ac:dyDescent="0.2">
      <c r="A713" t="s">
        <v>568</v>
      </c>
      <c r="B713" s="1">
        <v>45906</v>
      </c>
      <c r="C713" t="s">
        <v>54</v>
      </c>
      <c r="D713" t="s">
        <v>15</v>
      </c>
      <c r="E713" t="s">
        <v>30</v>
      </c>
      <c r="F713">
        <v>371.55</v>
      </c>
      <c r="G713" s="2">
        <f t="shared" si="33"/>
        <v>371.55</v>
      </c>
      <c r="H713">
        <v>10</v>
      </c>
      <c r="I713" s="3">
        <v>0</v>
      </c>
      <c r="J713">
        <v>3</v>
      </c>
      <c r="K713">
        <f t="shared" si="34"/>
        <v>3715.5</v>
      </c>
      <c r="L713">
        <f t="shared" si="35"/>
        <v>3715.5</v>
      </c>
    </row>
    <row r="714" spans="1:12" x14ac:dyDescent="0.2">
      <c r="A714" t="s">
        <v>715</v>
      </c>
      <c r="B714" s="1">
        <v>45731</v>
      </c>
      <c r="C714" t="s">
        <v>43</v>
      </c>
      <c r="D714" t="s">
        <v>15</v>
      </c>
      <c r="E714" t="s">
        <v>22</v>
      </c>
      <c r="F714">
        <v>230.29</v>
      </c>
      <c r="G714" s="2">
        <f t="shared" si="33"/>
        <v>230.29</v>
      </c>
      <c r="H714">
        <v>5</v>
      </c>
      <c r="I714" s="3">
        <v>0</v>
      </c>
      <c r="J714">
        <v>5</v>
      </c>
      <c r="K714">
        <f t="shared" si="34"/>
        <v>1151.45</v>
      </c>
      <c r="L714">
        <f t="shared" si="35"/>
        <v>1151.45</v>
      </c>
    </row>
    <row r="715" spans="1:12" x14ac:dyDescent="0.2">
      <c r="A715" t="s">
        <v>697</v>
      </c>
      <c r="B715" s="1">
        <v>46011</v>
      </c>
      <c r="C715" t="s">
        <v>26</v>
      </c>
      <c r="D715" t="s">
        <v>27</v>
      </c>
      <c r="E715" t="s">
        <v>18</v>
      </c>
      <c r="F715">
        <v>438.22</v>
      </c>
      <c r="G715" s="2">
        <f t="shared" si="33"/>
        <v>438.22</v>
      </c>
      <c r="H715">
        <v>2</v>
      </c>
      <c r="I715" s="3">
        <v>0</v>
      </c>
      <c r="J715">
        <v>5</v>
      </c>
      <c r="K715">
        <f t="shared" si="34"/>
        <v>876.44</v>
      </c>
      <c r="L715">
        <f t="shared" si="35"/>
        <v>876.44</v>
      </c>
    </row>
    <row r="716" spans="1:12" x14ac:dyDescent="0.2">
      <c r="A716" t="s">
        <v>254</v>
      </c>
      <c r="B716" s="1">
        <v>45848</v>
      </c>
      <c r="C716" t="s">
        <v>26</v>
      </c>
      <c r="D716" t="s">
        <v>27</v>
      </c>
      <c r="E716" t="s">
        <v>18</v>
      </c>
      <c r="F716">
        <v>689.19</v>
      </c>
      <c r="G716" s="2">
        <f t="shared" si="33"/>
        <v>689.19</v>
      </c>
      <c r="H716">
        <v>1</v>
      </c>
      <c r="I716" s="3">
        <v>0</v>
      </c>
      <c r="J716">
        <v>4</v>
      </c>
      <c r="K716">
        <f t="shared" si="34"/>
        <v>689.19</v>
      </c>
      <c r="L716">
        <f t="shared" si="35"/>
        <v>689.19</v>
      </c>
    </row>
    <row r="717" spans="1:12" x14ac:dyDescent="0.2">
      <c r="A717" t="s">
        <v>609</v>
      </c>
      <c r="B717" s="1">
        <v>45909</v>
      </c>
      <c r="C717" t="s">
        <v>43</v>
      </c>
      <c r="D717" t="s">
        <v>15</v>
      </c>
      <c r="E717" t="s">
        <v>18</v>
      </c>
      <c r="G717" s="2">
        <f t="shared" si="33"/>
        <v>362.89299999999997</v>
      </c>
      <c r="H717">
        <v>1</v>
      </c>
      <c r="I717" s="3">
        <v>0</v>
      </c>
      <c r="J717">
        <v>3</v>
      </c>
      <c r="K717">
        <f t="shared" si="34"/>
        <v>362.89299999999997</v>
      </c>
      <c r="L717">
        <f t="shared" si="35"/>
        <v>362.89299999999997</v>
      </c>
    </row>
    <row r="718" spans="1:12" x14ac:dyDescent="0.2">
      <c r="A718" t="s">
        <v>129</v>
      </c>
      <c r="B718" s="1">
        <v>45884</v>
      </c>
      <c r="C718" t="s">
        <v>43</v>
      </c>
      <c r="D718" t="s">
        <v>15</v>
      </c>
      <c r="E718" t="s">
        <v>30</v>
      </c>
      <c r="F718">
        <v>337.12</v>
      </c>
      <c r="G718" s="2">
        <f t="shared" si="33"/>
        <v>337.12</v>
      </c>
      <c r="H718">
        <v>3</v>
      </c>
      <c r="I718" s="3">
        <v>0</v>
      </c>
      <c r="J718">
        <v>5</v>
      </c>
      <c r="K718">
        <f t="shared" si="34"/>
        <v>1011.36</v>
      </c>
      <c r="L718">
        <f t="shared" si="35"/>
        <v>1011.36</v>
      </c>
    </row>
    <row r="719" spans="1:12" x14ac:dyDescent="0.2">
      <c r="A719" t="s">
        <v>88</v>
      </c>
      <c r="B719" s="1">
        <v>45703</v>
      </c>
      <c r="C719" t="s">
        <v>856</v>
      </c>
      <c r="D719" t="s">
        <v>11</v>
      </c>
      <c r="E719" t="s">
        <v>30</v>
      </c>
      <c r="F719">
        <v>1204.42</v>
      </c>
      <c r="G719" s="2">
        <f t="shared" si="33"/>
        <v>1204.42</v>
      </c>
      <c r="H719">
        <v>2</v>
      </c>
      <c r="I719" s="3">
        <v>0.1</v>
      </c>
      <c r="J719">
        <v>4</v>
      </c>
      <c r="K719">
        <f t="shared" si="34"/>
        <v>2408.84</v>
      </c>
      <c r="L719">
        <f t="shared" si="35"/>
        <v>2167.9560000000001</v>
      </c>
    </row>
    <row r="720" spans="1:12" x14ac:dyDescent="0.2">
      <c r="A720" t="s">
        <v>731</v>
      </c>
      <c r="B720" s="1">
        <v>45866</v>
      </c>
      <c r="C720" t="s">
        <v>26</v>
      </c>
      <c r="D720" t="s">
        <v>27</v>
      </c>
      <c r="E720" t="s">
        <v>18</v>
      </c>
      <c r="G720" s="2">
        <f t="shared" si="33"/>
        <v>591.75880952380953</v>
      </c>
      <c r="H720">
        <v>10</v>
      </c>
      <c r="I720" s="3">
        <v>0.15</v>
      </c>
      <c r="J720">
        <v>5</v>
      </c>
      <c r="K720">
        <f t="shared" si="34"/>
        <v>5917.5880952380958</v>
      </c>
      <c r="L720">
        <f t="shared" si="35"/>
        <v>5029.9498809523811</v>
      </c>
    </row>
    <row r="721" spans="1:12" x14ac:dyDescent="0.2">
      <c r="A721" t="s">
        <v>122</v>
      </c>
      <c r="B721" s="1">
        <v>45921</v>
      </c>
      <c r="C721" t="s">
        <v>10</v>
      </c>
      <c r="D721" t="s">
        <v>11</v>
      </c>
      <c r="E721" t="s">
        <v>56</v>
      </c>
      <c r="F721">
        <v>1070.46</v>
      </c>
      <c r="G721" s="2">
        <f t="shared" si="33"/>
        <v>1070.46</v>
      </c>
      <c r="H721">
        <v>1</v>
      </c>
      <c r="I721" s="3">
        <v>0</v>
      </c>
      <c r="J721">
        <v>4</v>
      </c>
      <c r="K721">
        <f t="shared" si="34"/>
        <v>1070.46</v>
      </c>
      <c r="L721">
        <f t="shared" si="35"/>
        <v>1070.46</v>
      </c>
    </row>
    <row r="722" spans="1:12" x14ac:dyDescent="0.2">
      <c r="A722" t="s">
        <v>384</v>
      </c>
      <c r="B722" s="1">
        <v>45864</v>
      </c>
      <c r="C722" t="s">
        <v>29</v>
      </c>
      <c r="D722" t="s">
        <v>15</v>
      </c>
      <c r="E722" t="s">
        <v>56</v>
      </c>
      <c r="F722">
        <v>295.52</v>
      </c>
      <c r="G722" s="2">
        <f t="shared" si="33"/>
        <v>295.52</v>
      </c>
      <c r="H722">
        <v>1</v>
      </c>
      <c r="I722" s="3">
        <v>0.15</v>
      </c>
      <c r="J722">
        <v>1</v>
      </c>
      <c r="K722">
        <f t="shared" si="34"/>
        <v>295.52</v>
      </c>
      <c r="L722">
        <f t="shared" si="35"/>
        <v>251.19199999999998</v>
      </c>
    </row>
    <row r="723" spans="1:12" x14ac:dyDescent="0.2">
      <c r="A723" t="s">
        <v>839</v>
      </c>
      <c r="B723" s="1">
        <v>45760</v>
      </c>
      <c r="C723" t="s">
        <v>32</v>
      </c>
      <c r="D723" t="s">
        <v>21</v>
      </c>
      <c r="E723" t="s">
        <v>30</v>
      </c>
      <c r="F723">
        <v>1870.5</v>
      </c>
      <c r="G723" s="2">
        <f t="shared" si="33"/>
        <v>1870.5</v>
      </c>
      <c r="H723">
        <v>1</v>
      </c>
      <c r="I723" s="3">
        <v>0</v>
      </c>
      <c r="J723">
        <v>1</v>
      </c>
      <c r="K723">
        <f t="shared" si="34"/>
        <v>1870.5</v>
      </c>
      <c r="L723">
        <f t="shared" si="35"/>
        <v>1870.5</v>
      </c>
    </row>
    <row r="724" spans="1:12" x14ac:dyDescent="0.2">
      <c r="A724" t="s">
        <v>377</v>
      </c>
      <c r="B724" s="1">
        <v>45842</v>
      </c>
      <c r="C724" t="s">
        <v>14</v>
      </c>
      <c r="D724" t="s">
        <v>15</v>
      </c>
      <c r="E724" t="s">
        <v>56</v>
      </c>
      <c r="F724">
        <v>281.51</v>
      </c>
      <c r="G724" s="2">
        <f t="shared" si="33"/>
        <v>281.51</v>
      </c>
      <c r="H724">
        <v>2</v>
      </c>
      <c r="I724" s="3">
        <v>0</v>
      </c>
      <c r="J724">
        <v>5</v>
      </c>
      <c r="K724">
        <f t="shared" si="34"/>
        <v>563.02</v>
      </c>
      <c r="L724">
        <f t="shared" si="35"/>
        <v>563.02</v>
      </c>
    </row>
    <row r="725" spans="1:12" x14ac:dyDescent="0.2">
      <c r="A725" t="s">
        <v>348</v>
      </c>
      <c r="B725" s="1">
        <v>45916</v>
      </c>
      <c r="C725" t="s">
        <v>10</v>
      </c>
      <c r="D725" t="s">
        <v>11</v>
      </c>
      <c r="E725" t="s">
        <v>22</v>
      </c>
      <c r="F725">
        <v>1297.98</v>
      </c>
      <c r="G725" s="2">
        <f t="shared" si="33"/>
        <v>1297.98</v>
      </c>
      <c r="H725">
        <v>5</v>
      </c>
      <c r="I725" s="3">
        <v>0.2</v>
      </c>
      <c r="J725">
        <v>2</v>
      </c>
      <c r="K725">
        <f t="shared" si="34"/>
        <v>6489.9</v>
      </c>
      <c r="L725">
        <f t="shared" si="35"/>
        <v>5191.92</v>
      </c>
    </row>
    <row r="726" spans="1:12" x14ac:dyDescent="0.2">
      <c r="A726" t="s">
        <v>551</v>
      </c>
      <c r="B726" s="1">
        <v>45781</v>
      </c>
      <c r="C726" t="s">
        <v>856</v>
      </c>
      <c r="D726" t="s">
        <v>11</v>
      </c>
      <c r="E726" t="s">
        <v>56</v>
      </c>
      <c r="F726">
        <v>791.38</v>
      </c>
      <c r="G726" s="2">
        <f t="shared" si="33"/>
        <v>791.38</v>
      </c>
      <c r="H726">
        <v>3</v>
      </c>
      <c r="I726" s="3">
        <v>0.1</v>
      </c>
      <c r="J726">
        <v>5</v>
      </c>
      <c r="K726">
        <f t="shared" si="34"/>
        <v>2374.14</v>
      </c>
      <c r="L726">
        <f t="shared" si="35"/>
        <v>2136.7260000000001</v>
      </c>
    </row>
    <row r="727" spans="1:12" x14ac:dyDescent="0.2">
      <c r="A727" t="s">
        <v>93</v>
      </c>
      <c r="B727" s="1">
        <v>45900</v>
      </c>
      <c r="C727" t="s">
        <v>32</v>
      </c>
      <c r="D727" t="s">
        <v>21</v>
      </c>
      <c r="E727" t="s">
        <v>18</v>
      </c>
      <c r="F727">
        <v>2170.5</v>
      </c>
      <c r="G727" s="2">
        <f t="shared" si="33"/>
        <v>2170.5</v>
      </c>
      <c r="H727">
        <v>3</v>
      </c>
      <c r="I727" s="3">
        <v>0</v>
      </c>
      <c r="J727">
        <v>3</v>
      </c>
      <c r="K727">
        <f t="shared" si="34"/>
        <v>6511.5</v>
      </c>
      <c r="L727">
        <f t="shared" si="35"/>
        <v>6511.5</v>
      </c>
    </row>
    <row r="728" spans="1:12" x14ac:dyDescent="0.2">
      <c r="A728" t="s">
        <v>154</v>
      </c>
      <c r="B728" s="1">
        <v>46010</v>
      </c>
      <c r="C728" t="s">
        <v>10</v>
      </c>
      <c r="D728" t="s">
        <v>11</v>
      </c>
      <c r="E728" t="s">
        <v>18</v>
      </c>
      <c r="F728">
        <v>1313.42</v>
      </c>
      <c r="G728" s="2">
        <f t="shared" si="33"/>
        <v>1313.42</v>
      </c>
      <c r="H728">
        <v>1</v>
      </c>
      <c r="I728" s="3">
        <v>0</v>
      </c>
      <c r="J728">
        <v>1</v>
      </c>
      <c r="K728">
        <f t="shared" si="34"/>
        <v>1313.42</v>
      </c>
      <c r="L728">
        <f t="shared" si="35"/>
        <v>1313.42</v>
      </c>
    </row>
    <row r="729" spans="1:12" x14ac:dyDescent="0.2">
      <c r="A729" t="s">
        <v>386</v>
      </c>
      <c r="B729" s="1">
        <v>45741</v>
      </c>
      <c r="C729" t="s">
        <v>54</v>
      </c>
      <c r="D729" t="s">
        <v>15</v>
      </c>
      <c r="E729" t="s">
        <v>56</v>
      </c>
      <c r="F729">
        <v>367.92</v>
      </c>
      <c r="G729" s="2">
        <f t="shared" si="33"/>
        <v>367.92</v>
      </c>
      <c r="H729">
        <v>2</v>
      </c>
      <c r="I729" s="3">
        <v>0</v>
      </c>
      <c r="J729">
        <v>4</v>
      </c>
      <c r="K729">
        <f t="shared" si="34"/>
        <v>735.84</v>
      </c>
      <c r="L729">
        <f t="shared" si="35"/>
        <v>735.84</v>
      </c>
    </row>
    <row r="730" spans="1:12" x14ac:dyDescent="0.2">
      <c r="A730" t="s">
        <v>77</v>
      </c>
      <c r="B730" s="1">
        <v>45795</v>
      </c>
      <c r="C730" t="s">
        <v>856</v>
      </c>
      <c r="D730" t="s">
        <v>11</v>
      </c>
      <c r="E730" t="s">
        <v>30</v>
      </c>
      <c r="F730">
        <v>1435.85</v>
      </c>
      <c r="G730" s="2">
        <f t="shared" si="33"/>
        <v>1435.85</v>
      </c>
      <c r="H730">
        <v>5</v>
      </c>
      <c r="I730" s="3">
        <v>0.15</v>
      </c>
      <c r="J730">
        <v>1</v>
      </c>
      <c r="K730">
        <f t="shared" si="34"/>
        <v>7179.25</v>
      </c>
      <c r="L730">
        <f t="shared" si="35"/>
        <v>6102.3625000000002</v>
      </c>
    </row>
    <row r="731" spans="1:12" x14ac:dyDescent="0.2">
      <c r="A731" t="s">
        <v>40</v>
      </c>
      <c r="B731" s="1">
        <v>46007</v>
      </c>
      <c r="C731" t="s">
        <v>10</v>
      </c>
      <c r="D731" t="s">
        <v>11</v>
      </c>
      <c r="E731" t="s">
        <v>18</v>
      </c>
      <c r="F731">
        <v>1599.71</v>
      </c>
      <c r="G731" s="2">
        <f t="shared" si="33"/>
        <v>1599.71</v>
      </c>
      <c r="H731">
        <v>1</v>
      </c>
      <c r="I731" s="3">
        <v>0.1</v>
      </c>
      <c r="J731">
        <v>3</v>
      </c>
      <c r="K731">
        <f t="shared" si="34"/>
        <v>1599.71</v>
      </c>
      <c r="L731">
        <f t="shared" si="35"/>
        <v>1439.739</v>
      </c>
    </row>
    <row r="732" spans="1:12" x14ac:dyDescent="0.2">
      <c r="A732" t="s">
        <v>95</v>
      </c>
      <c r="B732" s="1">
        <v>45965</v>
      </c>
      <c r="C732" t="s">
        <v>856</v>
      </c>
      <c r="D732" t="s">
        <v>11</v>
      </c>
      <c r="E732" t="s">
        <v>30</v>
      </c>
      <c r="F732">
        <v>1443.45</v>
      </c>
      <c r="G732" s="2">
        <f t="shared" si="33"/>
        <v>1443.45</v>
      </c>
      <c r="H732">
        <v>1</v>
      </c>
      <c r="I732" s="3">
        <v>0</v>
      </c>
      <c r="J732">
        <v>4</v>
      </c>
      <c r="K732">
        <f t="shared" si="34"/>
        <v>1443.45</v>
      </c>
      <c r="L732">
        <f t="shared" si="35"/>
        <v>1443.45</v>
      </c>
    </row>
    <row r="733" spans="1:12" x14ac:dyDescent="0.2">
      <c r="A733" t="s">
        <v>234</v>
      </c>
      <c r="B733" s="1">
        <v>45814</v>
      </c>
      <c r="C733" t="s">
        <v>856</v>
      </c>
      <c r="D733" t="s">
        <v>11</v>
      </c>
      <c r="E733" t="s">
        <v>18</v>
      </c>
      <c r="F733">
        <v>758.19</v>
      </c>
      <c r="G733" s="2">
        <f t="shared" si="33"/>
        <v>758.19</v>
      </c>
      <c r="H733">
        <v>2</v>
      </c>
      <c r="I733" s="3">
        <v>0.1</v>
      </c>
      <c r="J733">
        <v>5</v>
      </c>
      <c r="K733">
        <f t="shared" si="34"/>
        <v>1516.38</v>
      </c>
      <c r="L733">
        <f t="shared" si="35"/>
        <v>1364.7420000000002</v>
      </c>
    </row>
    <row r="734" spans="1:12" x14ac:dyDescent="0.2">
      <c r="A734" t="s">
        <v>783</v>
      </c>
      <c r="B734" s="1">
        <v>45893</v>
      </c>
      <c r="C734" t="s">
        <v>10</v>
      </c>
      <c r="D734" t="s">
        <v>11</v>
      </c>
      <c r="E734" t="s">
        <v>18</v>
      </c>
      <c r="F734">
        <v>892.9</v>
      </c>
      <c r="G734" s="2">
        <f t="shared" si="33"/>
        <v>892.9</v>
      </c>
      <c r="H734">
        <v>2</v>
      </c>
      <c r="I734" s="3">
        <v>0</v>
      </c>
      <c r="J734">
        <v>5</v>
      </c>
      <c r="K734">
        <f t="shared" si="34"/>
        <v>1785.8</v>
      </c>
      <c r="L734">
        <f t="shared" si="35"/>
        <v>1785.8</v>
      </c>
    </row>
    <row r="735" spans="1:12" x14ac:dyDescent="0.2">
      <c r="A735" t="s">
        <v>198</v>
      </c>
      <c r="B735" s="1">
        <v>45924</v>
      </c>
      <c r="C735" t="s">
        <v>43</v>
      </c>
      <c r="D735" t="s">
        <v>15</v>
      </c>
      <c r="E735" t="s">
        <v>30</v>
      </c>
      <c r="F735">
        <v>306.26</v>
      </c>
      <c r="G735" s="2">
        <f t="shared" si="33"/>
        <v>306.26</v>
      </c>
      <c r="H735">
        <v>5</v>
      </c>
      <c r="I735" s="3">
        <v>0.15</v>
      </c>
      <c r="J735">
        <v>2</v>
      </c>
      <c r="K735">
        <f t="shared" si="34"/>
        <v>1531.3</v>
      </c>
      <c r="L735">
        <f t="shared" si="35"/>
        <v>1301.605</v>
      </c>
    </row>
    <row r="736" spans="1:12" x14ac:dyDescent="0.2">
      <c r="A736" t="s">
        <v>241</v>
      </c>
      <c r="B736" s="1">
        <v>45997</v>
      </c>
      <c r="C736" t="s">
        <v>34</v>
      </c>
      <c r="D736" t="s">
        <v>11</v>
      </c>
      <c r="E736" t="s">
        <v>56</v>
      </c>
      <c r="F736">
        <v>1206.26</v>
      </c>
      <c r="G736" s="2">
        <f t="shared" si="33"/>
        <v>1206.26</v>
      </c>
      <c r="H736">
        <v>3</v>
      </c>
      <c r="I736" s="3">
        <v>0.15</v>
      </c>
      <c r="J736">
        <v>4</v>
      </c>
      <c r="K736">
        <f t="shared" si="34"/>
        <v>3618.7799999999997</v>
      </c>
      <c r="L736">
        <f t="shared" si="35"/>
        <v>3075.9629999999997</v>
      </c>
    </row>
    <row r="737" spans="1:12" x14ac:dyDescent="0.2">
      <c r="A737" t="s">
        <v>42</v>
      </c>
      <c r="B737" s="1">
        <v>45713</v>
      </c>
      <c r="C737" t="s">
        <v>43</v>
      </c>
      <c r="D737" t="s">
        <v>15</v>
      </c>
      <c r="E737" t="s">
        <v>30</v>
      </c>
      <c r="F737">
        <v>386.24</v>
      </c>
      <c r="G737" s="2">
        <f t="shared" si="33"/>
        <v>386.24</v>
      </c>
      <c r="H737">
        <v>10</v>
      </c>
      <c r="I737" s="3">
        <v>0</v>
      </c>
      <c r="J737">
        <v>5</v>
      </c>
      <c r="K737">
        <f t="shared" si="34"/>
        <v>3862.4</v>
      </c>
      <c r="L737">
        <f t="shared" si="35"/>
        <v>3862.4</v>
      </c>
    </row>
    <row r="738" spans="1:12" x14ac:dyDescent="0.2">
      <c r="A738" t="s">
        <v>801</v>
      </c>
      <c r="B738" s="1">
        <v>45824</v>
      </c>
      <c r="C738" t="s">
        <v>43</v>
      </c>
      <c r="D738" t="s">
        <v>15</v>
      </c>
      <c r="E738" t="s">
        <v>30</v>
      </c>
      <c r="F738">
        <v>299.2</v>
      </c>
      <c r="G738" s="2">
        <f t="shared" si="33"/>
        <v>299.2</v>
      </c>
      <c r="H738">
        <v>2</v>
      </c>
      <c r="I738" s="3">
        <v>0</v>
      </c>
      <c r="J738">
        <v>4</v>
      </c>
      <c r="K738">
        <f t="shared" si="34"/>
        <v>598.4</v>
      </c>
      <c r="L738">
        <f t="shared" si="35"/>
        <v>598.4</v>
      </c>
    </row>
    <row r="739" spans="1:12" x14ac:dyDescent="0.2">
      <c r="A739" t="s">
        <v>140</v>
      </c>
      <c r="B739" s="1">
        <v>45922</v>
      </c>
      <c r="C739" t="s">
        <v>32</v>
      </c>
      <c r="D739" t="s">
        <v>21</v>
      </c>
      <c r="E739" t="s">
        <v>30</v>
      </c>
      <c r="F739">
        <v>1867.24</v>
      </c>
      <c r="G739" s="2">
        <f t="shared" si="33"/>
        <v>1867.24</v>
      </c>
      <c r="H739">
        <v>2</v>
      </c>
      <c r="I739" s="3">
        <v>0</v>
      </c>
      <c r="J739">
        <v>5</v>
      </c>
      <c r="K739">
        <f t="shared" si="34"/>
        <v>3734.48</v>
      </c>
      <c r="L739">
        <f t="shared" si="35"/>
        <v>3734.48</v>
      </c>
    </row>
    <row r="740" spans="1:12" x14ac:dyDescent="0.2">
      <c r="A740" t="s">
        <v>130</v>
      </c>
      <c r="B740" s="1">
        <v>46006</v>
      </c>
      <c r="C740" t="s">
        <v>856</v>
      </c>
      <c r="D740" t="s">
        <v>11</v>
      </c>
      <c r="E740" t="s">
        <v>18</v>
      </c>
      <c r="F740">
        <v>1018.71</v>
      </c>
      <c r="G740" s="2">
        <f t="shared" si="33"/>
        <v>1018.71</v>
      </c>
      <c r="H740">
        <v>1</v>
      </c>
      <c r="I740" s="3">
        <v>0.2</v>
      </c>
      <c r="J740">
        <v>1</v>
      </c>
      <c r="K740">
        <f t="shared" si="34"/>
        <v>1018.71</v>
      </c>
      <c r="L740">
        <f t="shared" si="35"/>
        <v>814.96800000000007</v>
      </c>
    </row>
    <row r="741" spans="1:12" x14ac:dyDescent="0.2">
      <c r="A741" t="s">
        <v>665</v>
      </c>
      <c r="B741" s="1">
        <v>45809</v>
      </c>
      <c r="C741" t="s">
        <v>856</v>
      </c>
      <c r="D741" t="s">
        <v>11</v>
      </c>
      <c r="E741" t="s">
        <v>22</v>
      </c>
      <c r="F741">
        <v>1053.24</v>
      </c>
      <c r="G741" s="2">
        <f t="shared" si="33"/>
        <v>1053.24</v>
      </c>
      <c r="H741">
        <v>2</v>
      </c>
      <c r="I741" s="3">
        <v>0.1</v>
      </c>
      <c r="J741">
        <v>5</v>
      </c>
      <c r="K741">
        <f t="shared" si="34"/>
        <v>2106.48</v>
      </c>
      <c r="L741">
        <f t="shared" si="35"/>
        <v>1895.8320000000001</v>
      </c>
    </row>
    <row r="742" spans="1:12" x14ac:dyDescent="0.2">
      <c r="A742" t="s">
        <v>298</v>
      </c>
      <c r="B742" s="1">
        <v>45676</v>
      </c>
      <c r="C742" t="s">
        <v>54</v>
      </c>
      <c r="D742" t="s">
        <v>15</v>
      </c>
      <c r="E742" t="s">
        <v>30</v>
      </c>
      <c r="F742">
        <v>251.53</v>
      </c>
      <c r="G742" s="2">
        <f t="shared" si="33"/>
        <v>251.53</v>
      </c>
      <c r="H742">
        <v>2</v>
      </c>
      <c r="I742" s="3">
        <v>0</v>
      </c>
      <c r="J742">
        <v>4</v>
      </c>
      <c r="K742">
        <f t="shared" si="34"/>
        <v>503.06</v>
      </c>
      <c r="L742">
        <f t="shared" si="35"/>
        <v>503.06</v>
      </c>
    </row>
    <row r="743" spans="1:12" x14ac:dyDescent="0.2">
      <c r="A743" t="s">
        <v>776</v>
      </c>
      <c r="B743" s="1">
        <v>45984</v>
      </c>
      <c r="C743" t="s">
        <v>856</v>
      </c>
      <c r="D743" t="s">
        <v>11</v>
      </c>
      <c r="E743" t="s">
        <v>56</v>
      </c>
      <c r="F743">
        <v>978.42</v>
      </c>
      <c r="G743" s="2">
        <f t="shared" si="33"/>
        <v>978.42</v>
      </c>
      <c r="H743">
        <v>10</v>
      </c>
      <c r="I743" s="3">
        <v>0.2</v>
      </c>
      <c r="J743">
        <v>5</v>
      </c>
      <c r="K743">
        <f t="shared" si="34"/>
        <v>9784.1999999999989</v>
      </c>
      <c r="L743">
        <f t="shared" si="35"/>
        <v>7827.36</v>
      </c>
    </row>
    <row r="744" spans="1:12" x14ac:dyDescent="0.2">
      <c r="A744" t="s">
        <v>790</v>
      </c>
      <c r="B744" s="1">
        <v>45745</v>
      </c>
      <c r="C744" t="s">
        <v>17</v>
      </c>
      <c r="D744" t="s">
        <v>11</v>
      </c>
      <c r="E744" t="s">
        <v>18</v>
      </c>
      <c r="F744">
        <v>875.6</v>
      </c>
      <c r="G744" s="2">
        <f t="shared" si="33"/>
        <v>875.6</v>
      </c>
      <c r="H744">
        <v>1</v>
      </c>
      <c r="I744" s="3">
        <v>0</v>
      </c>
      <c r="J744">
        <v>2</v>
      </c>
      <c r="K744">
        <f t="shared" si="34"/>
        <v>875.6</v>
      </c>
      <c r="L744">
        <f t="shared" si="35"/>
        <v>875.6</v>
      </c>
    </row>
    <row r="745" spans="1:12" x14ac:dyDescent="0.2">
      <c r="A745" t="s">
        <v>134</v>
      </c>
      <c r="B745" s="1">
        <v>45790</v>
      </c>
      <c r="C745" t="s">
        <v>14</v>
      </c>
      <c r="D745" t="s">
        <v>15</v>
      </c>
      <c r="E745" t="s">
        <v>30</v>
      </c>
      <c r="F745">
        <v>281.69</v>
      </c>
      <c r="G745" s="2">
        <f t="shared" si="33"/>
        <v>281.69</v>
      </c>
      <c r="H745">
        <v>1</v>
      </c>
      <c r="I745" s="3">
        <v>0.2</v>
      </c>
      <c r="J745">
        <v>5</v>
      </c>
      <c r="K745">
        <f t="shared" si="34"/>
        <v>281.69</v>
      </c>
      <c r="L745">
        <f t="shared" si="35"/>
        <v>225.352</v>
      </c>
    </row>
    <row r="746" spans="1:12" x14ac:dyDescent="0.2">
      <c r="A746" t="s">
        <v>748</v>
      </c>
      <c r="B746" s="1">
        <v>45771</v>
      </c>
      <c r="C746" t="s">
        <v>856</v>
      </c>
      <c r="D746" t="s">
        <v>11</v>
      </c>
      <c r="E746" t="s">
        <v>56</v>
      </c>
      <c r="F746">
        <v>1452.87</v>
      </c>
      <c r="G746" s="2">
        <f t="shared" si="33"/>
        <v>1452.87</v>
      </c>
      <c r="H746">
        <v>3</v>
      </c>
      <c r="I746" s="3">
        <v>0</v>
      </c>
      <c r="J746">
        <v>4</v>
      </c>
      <c r="K746">
        <f t="shared" si="34"/>
        <v>4358.6099999999997</v>
      </c>
      <c r="L746">
        <f t="shared" si="35"/>
        <v>4358.6099999999997</v>
      </c>
    </row>
    <row r="747" spans="1:12" x14ac:dyDescent="0.2">
      <c r="A747" t="s">
        <v>97</v>
      </c>
      <c r="B747" s="1">
        <v>45827</v>
      </c>
      <c r="C747" t="s">
        <v>54</v>
      </c>
      <c r="D747" t="s">
        <v>15</v>
      </c>
      <c r="E747" t="s">
        <v>18</v>
      </c>
      <c r="F747">
        <v>283.54000000000002</v>
      </c>
      <c r="G747" s="2">
        <f t="shared" si="33"/>
        <v>283.54000000000002</v>
      </c>
      <c r="H747">
        <v>3</v>
      </c>
      <c r="I747" s="3">
        <v>0</v>
      </c>
      <c r="J747">
        <v>4</v>
      </c>
      <c r="K747">
        <f t="shared" si="34"/>
        <v>850.62000000000012</v>
      </c>
      <c r="L747">
        <f t="shared" si="35"/>
        <v>850.62000000000012</v>
      </c>
    </row>
    <row r="748" spans="1:12" x14ac:dyDescent="0.2">
      <c r="A748" t="s">
        <v>641</v>
      </c>
      <c r="B748" s="1">
        <v>45718</v>
      </c>
      <c r="C748" t="s">
        <v>14</v>
      </c>
      <c r="D748" t="s">
        <v>15</v>
      </c>
      <c r="E748" t="s">
        <v>18</v>
      </c>
      <c r="F748">
        <v>534.27</v>
      </c>
      <c r="G748" s="2">
        <f t="shared" si="33"/>
        <v>534.27</v>
      </c>
      <c r="H748">
        <v>10</v>
      </c>
      <c r="I748" s="3">
        <v>0</v>
      </c>
      <c r="J748">
        <v>2</v>
      </c>
      <c r="K748">
        <f t="shared" si="34"/>
        <v>5342.7</v>
      </c>
      <c r="L748">
        <f t="shared" si="35"/>
        <v>5342.7</v>
      </c>
    </row>
    <row r="749" spans="1:12" x14ac:dyDescent="0.2">
      <c r="A749" t="s">
        <v>203</v>
      </c>
      <c r="B749" s="1">
        <v>45914</v>
      </c>
      <c r="C749" t="s">
        <v>14</v>
      </c>
      <c r="D749" t="s">
        <v>15</v>
      </c>
      <c r="E749" t="s">
        <v>30</v>
      </c>
      <c r="F749">
        <v>384.53</v>
      </c>
      <c r="G749" s="2">
        <f t="shared" si="33"/>
        <v>384.53</v>
      </c>
      <c r="H749">
        <v>1</v>
      </c>
      <c r="I749" s="3">
        <v>0.2</v>
      </c>
      <c r="J749">
        <v>5</v>
      </c>
      <c r="K749">
        <f t="shared" si="34"/>
        <v>384.53</v>
      </c>
      <c r="L749">
        <f t="shared" si="35"/>
        <v>307.62400000000002</v>
      </c>
    </row>
    <row r="750" spans="1:12" x14ac:dyDescent="0.2">
      <c r="A750" t="s">
        <v>243</v>
      </c>
      <c r="B750" s="1">
        <v>45869</v>
      </c>
      <c r="C750" t="s">
        <v>17</v>
      </c>
      <c r="D750" t="s">
        <v>11</v>
      </c>
      <c r="E750" t="s">
        <v>18</v>
      </c>
      <c r="F750">
        <v>1244.3599999999999</v>
      </c>
      <c r="G750" s="2">
        <f t="shared" si="33"/>
        <v>1244.3599999999999</v>
      </c>
      <c r="H750">
        <v>1</v>
      </c>
      <c r="I750" s="3">
        <v>0</v>
      </c>
      <c r="J750">
        <v>3</v>
      </c>
      <c r="K750">
        <f t="shared" si="34"/>
        <v>1244.3599999999999</v>
      </c>
      <c r="L750">
        <f t="shared" si="35"/>
        <v>1244.3599999999999</v>
      </c>
    </row>
    <row r="751" spans="1:12" x14ac:dyDescent="0.2">
      <c r="A751" t="s">
        <v>252</v>
      </c>
      <c r="B751" s="1">
        <v>45867</v>
      </c>
      <c r="C751" t="s">
        <v>32</v>
      </c>
      <c r="D751" t="s">
        <v>21</v>
      </c>
      <c r="E751" t="s">
        <v>18</v>
      </c>
      <c r="F751">
        <v>1490.99</v>
      </c>
      <c r="G751" s="2">
        <f t="shared" si="33"/>
        <v>1490.99</v>
      </c>
      <c r="H751">
        <v>10</v>
      </c>
      <c r="I751" s="3">
        <v>0</v>
      </c>
      <c r="J751">
        <v>5</v>
      </c>
      <c r="K751">
        <f t="shared" si="34"/>
        <v>14909.9</v>
      </c>
      <c r="L751">
        <f t="shared" si="35"/>
        <v>14909.9</v>
      </c>
    </row>
    <row r="752" spans="1:12" x14ac:dyDescent="0.2">
      <c r="A752" t="s">
        <v>657</v>
      </c>
      <c r="B752" s="1">
        <v>45750</v>
      </c>
      <c r="C752" t="s">
        <v>10</v>
      </c>
      <c r="D752" t="s">
        <v>11</v>
      </c>
      <c r="E752" t="s">
        <v>30</v>
      </c>
      <c r="F752">
        <v>1368.07</v>
      </c>
      <c r="G752" s="2">
        <f t="shared" si="33"/>
        <v>1368.07</v>
      </c>
      <c r="H752">
        <v>1</v>
      </c>
      <c r="I752" s="3">
        <v>0.1</v>
      </c>
      <c r="J752">
        <v>5</v>
      </c>
      <c r="K752">
        <f t="shared" si="34"/>
        <v>1368.07</v>
      </c>
      <c r="L752">
        <f t="shared" si="35"/>
        <v>1231.2629999999999</v>
      </c>
    </row>
    <row r="753" spans="1:12" x14ac:dyDescent="0.2">
      <c r="A753" t="s">
        <v>630</v>
      </c>
      <c r="B753" s="1">
        <v>45818</v>
      </c>
      <c r="C753" t="s">
        <v>856</v>
      </c>
      <c r="D753" t="s">
        <v>11</v>
      </c>
      <c r="E753" t="s">
        <v>30</v>
      </c>
      <c r="F753">
        <v>1061.8499999999999</v>
      </c>
      <c r="G753" s="2">
        <f t="shared" si="33"/>
        <v>1061.8499999999999</v>
      </c>
      <c r="H753">
        <v>1</v>
      </c>
      <c r="I753" s="3">
        <v>0</v>
      </c>
      <c r="J753">
        <v>5</v>
      </c>
      <c r="K753">
        <f t="shared" si="34"/>
        <v>1061.8499999999999</v>
      </c>
      <c r="L753">
        <f t="shared" si="35"/>
        <v>1061.8499999999999</v>
      </c>
    </row>
    <row r="754" spans="1:12" x14ac:dyDescent="0.2">
      <c r="A754" t="s">
        <v>270</v>
      </c>
      <c r="B754" s="1">
        <v>45744</v>
      </c>
      <c r="C754" t="s">
        <v>43</v>
      </c>
      <c r="D754" t="s">
        <v>15</v>
      </c>
      <c r="E754" t="s">
        <v>30</v>
      </c>
      <c r="F754">
        <v>358.54</v>
      </c>
      <c r="G754" s="2">
        <f t="shared" si="33"/>
        <v>358.54</v>
      </c>
      <c r="H754">
        <v>1</v>
      </c>
      <c r="I754" s="3">
        <v>0.1</v>
      </c>
      <c r="J754">
        <v>2</v>
      </c>
      <c r="K754">
        <f t="shared" si="34"/>
        <v>358.54</v>
      </c>
      <c r="L754">
        <f t="shared" si="35"/>
        <v>322.68600000000004</v>
      </c>
    </row>
    <row r="755" spans="1:12" x14ac:dyDescent="0.2">
      <c r="A755" t="s">
        <v>131</v>
      </c>
      <c r="B755" s="1">
        <v>45880</v>
      </c>
      <c r="C755" t="s">
        <v>32</v>
      </c>
      <c r="D755" t="s">
        <v>21</v>
      </c>
      <c r="E755" t="s">
        <v>56</v>
      </c>
      <c r="F755">
        <v>2721.63</v>
      </c>
      <c r="G755" s="2">
        <f t="shared" si="33"/>
        <v>2721.63</v>
      </c>
      <c r="H755">
        <v>5</v>
      </c>
      <c r="I755" s="3">
        <v>0.1</v>
      </c>
      <c r="J755">
        <v>5</v>
      </c>
      <c r="K755">
        <f t="shared" si="34"/>
        <v>13608.150000000001</v>
      </c>
      <c r="L755">
        <f t="shared" si="35"/>
        <v>12247.335000000001</v>
      </c>
    </row>
    <row r="756" spans="1:12" x14ac:dyDescent="0.2">
      <c r="A756" t="s">
        <v>822</v>
      </c>
      <c r="B756" s="1">
        <v>45660</v>
      </c>
      <c r="C756" t="s">
        <v>14</v>
      </c>
      <c r="D756" t="s">
        <v>15</v>
      </c>
      <c r="E756" t="s">
        <v>22</v>
      </c>
      <c r="F756">
        <v>343.28</v>
      </c>
      <c r="G756" s="2">
        <f t="shared" si="33"/>
        <v>343.28</v>
      </c>
      <c r="H756">
        <v>1</v>
      </c>
      <c r="I756" s="3">
        <v>0.15</v>
      </c>
      <c r="J756">
        <v>4</v>
      </c>
      <c r="K756">
        <f t="shared" si="34"/>
        <v>343.28</v>
      </c>
      <c r="L756">
        <f t="shared" si="35"/>
        <v>291.78799999999995</v>
      </c>
    </row>
    <row r="757" spans="1:12" x14ac:dyDescent="0.2">
      <c r="A757" t="s">
        <v>291</v>
      </c>
      <c r="B757" s="1">
        <v>45665</v>
      </c>
      <c r="C757" t="s">
        <v>29</v>
      </c>
      <c r="D757" t="s">
        <v>15</v>
      </c>
      <c r="E757" t="s">
        <v>18</v>
      </c>
      <c r="F757">
        <v>430.45</v>
      </c>
      <c r="G757" s="2">
        <f t="shared" si="33"/>
        <v>430.45</v>
      </c>
      <c r="H757">
        <v>3</v>
      </c>
      <c r="I757" s="3">
        <v>0.15</v>
      </c>
      <c r="J757">
        <v>4</v>
      </c>
      <c r="K757">
        <f t="shared" si="34"/>
        <v>1291.3499999999999</v>
      </c>
      <c r="L757">
        <f t="shared" si="35"/>
        <v>1097.6474999999998</v>
      </c>
    </row>
    <row r="758" spans="1:12" x14ac:dyDescent="0.2">
      <c r="A758" t="s">
        <v>772</v>
      </c>
      <c r="B758" s="1">
        <v>45660</v>
      </c>
      <c r="C758" t="s">
        <v>34</v>
      </c>
      <c r="D758" t="s">
        <v>11</v>
      </c>
      <c r="E758" t="s">
        <v>30</v>
      </c>
      <c r="F758">
        <v>1031.24</v>
      </c>
      <c r="G758" s="2">
        <f t="shared" si="33"/>
        <v>1031.24</v>
      </c>
      <c r="H758">
        <v>2</v>
      </c>
      <c r="I758" s="3">
        <v>0</v>
      </c>
      <c r="J758">
        <v>5</v>
      </c>
      <c r="K758">
        <f t="shared" si="34"/>
        <v>2062.48</v>
      </c>
      <c r="L758">
        <f t="shared" si="35"/>
        <v>2062.48</v>
      </c>
    </row>
    <row r="759" spans="1:12" x14ac:dyDescent="0.2">
      <c r="A759" t="s">
        <v>272</v>
      </c>
      <c r="B759" s="1">
        <v>45710</v>
      </c>
      <c r="C759" t="s">
        <v>43</v>
      </c>
      <c r="D759" t="s">
        <v>15</v>
      </c>
      <c r="E759" t="s">
        <v>30</v>
      </c>
      <c r="F759">
        <v>347.55</v>
      </c>
      <c r="G759" s="2">
        <f t="shared" si="33"/>
        <v>347.55</v>
      </c>
      <c r="H759">
        <v>5</v>
      </c>
      <c r="I759" s="3">
        <v>0.15</v>
      </c>
      <c r="J759">
        <v>4</v>
      </c>
      <c r="K759">
        <f t="shared" si="34"/>
        <v>1737.75</v>
      </c>
      <c r="L759">
        <f t="shared" si="35"/>
        <v>1477.0874999999999</v>
      </c>
    </row>
    <row r="760" spans="1:12" x14ac:dyDescent="0.2">
      <c r="A760" t="s">
        <v>698</v>
      </c>
      <c r="B760" s="1">
        <v>45681</v>
      </c>
      <c r="C760" t="s">
        <v>32</v>
      </c>
      <c r="D760" t="s">
        <v>21</v>
      </c>
      <c r="E760" t="s">
        <v>56</v>
      </c>
      <c r="F760">
        <v>2437.4899999999998</v>
      </c>
      <c r="G760" s="2">
        <f t="shared" si="33"/>
        <v>2437.4899999999998</v>
      </c>
      <c r="H760">
        <v>2</v>
      </c>
      <c r="I760" s="3">
        <v>0</v>
      </c>
      <c r="J760">
        <v>5</v>
      </c>
      <c r="K760">
        <f t="shared" si="34"/>
        <v>4874.9799999999996</v>
      </c>
      <c r="L760">
        <f t="shared" si="35"/>
        <v>4874.9799999999996</v>
      </c>
    </row>
    <row r="761" spans="1:12" x14ac:dyDescent="0.2">
      <c r="A761" t="s">
        <v>349</v>
      </c>
      <c r="B761" s="1">
        <v>45963</v>
      </c>
      <c r="C761" t="s">
        <v>29</v>
      </c>
      <c r="D761" t="s">
        <v>15</v>
      </c>
      <c r="E761" t="s">
        <v>56</v>
      </c>
      <c r="F761">
        <v>306.11</v>
      </c>
      <c r="G761" s="2">
        <f t="shared" si="33"/>
        <v>306.11</v>
      </c>
      <c r="H761">
        <v>3</v>
      </c>
      <c r="I761" s="3">
        <v>0.1</v>
      </c>
      <c r="J761">
        <v>3</v>
      </c>
      <c r="K761">
        <f t="shared" si="34"/>
        <v>918.33</v>
      </c>
      <c r="L761">
        <f t="shared" si="35"/>
        <v>826.49700000000007</v>
      </c>
    </row>
    <row r="762" spans="1:12" x14ac:dyDescent="0.2">
      <c r="A762" t="s">
        <v>354</v>
      </c>
      <c r="B762" s="1">
        <v>45841</v>
      </c>
      <c r="C762" t="s">
        <v>43</v>
      </c>
      <c r="D762" t="s">
        <v>15</v>
      </c>
      <c r="E762" t="s">
        <v>22</v>
      </c>
      <c r="F762">
        <v>476.87</v>
      </c>
      <c r="G762" s="2">
        <f t="shared" si="33"/>
        <v>476.87</v>
      </c>
      <c r="H762">
        <v>2</v>
      </c>
      <c r="I762" s="3">
        <v>0</v>
      </c>
      <c r="J762">
        <v>5</v>
      </c>
      <c r="K762">
        <f t="shared" si="34"/>
        <v>953.74</v>
      </c>
      <c r="L762">
        <f t="shared" si="35"/>
        <v>953.74</v>
      </c>
    </row>
    <row r="763" spans="1:12" x14ac:dyDescent="0.2">
      <c r="A763" t="s">
        <v>471</v>
      </c>
      <c r="B763" s="1">
        <v>45772</v>
      </c>
      <c r="C763" t="s">
        <v>34</v>
      </c>
      <c r="D763" t="s">
        <v>11</v>
      </c>
      <c r="E763" t="s">
        <v>30</v>
      </c>
      <c r="F763">
        <v>1369.86</v>
      </c>
      <c r="G763" s="2">
        <f t="shared" si="33"/>
        <v>1369.86</v>
      </c>
      <c r="H763">
        <v>1</v>
      </c>
      <c r="I763" s="3">
        <v>0</v>
      </c>
      <c r="J763">
        <v>1</v>
      </c>
      <c r="K763">
        <f t="shared" si="34"/>
        <v>1369.86</v>
      </c>
      <c r="L763">
        <f t="shared" si="35"/>
        <v>1369.86</v>
      </c>
    </row>
    <row r="764" spans="1:12" x14ac:dyDescent="0.2">
      <c r="A764" t="s">
        <v>556</v>
      </c>
      <c r="B764" s="1">
        <v>45744</v>
      </c>
      <c r="C764" t="s">
        <v>856</v>
      </c>
      <c r="D764" t="s">
        <v>11</v>
      </c>
      <c r="E764" t="s">
        <v>56</v>
      </c>
      <c r="F764">
        <v>1065.01</v>
      </c>
      <c r="G764" s="2">
        <f t="shared" si="33"/>
        <v>1065.01</v>
      </c>
      <c r="H764">
        <v>1</v>
      </c>
      <c r="I764" s="3">
        <v>0</v>
      </c>
      <c r="J764">
        <v>1</v>
      </c>
      <c r="K764">
        <f t="shared" si="34"/>
        <v>1065.01</v>
      </c>
      <c r="L764">
        <f t="shared" si="35"/>
        <v>1065.01</v>
      </c>
    </row>
    <row r="765" spans="1:12" x14ac:dyDescent="0.2">
      <c r="A765" t="s">
        <v>815</v>
      </c>
      <c r="B765" s="1">
        <v>45788</v>
      </c>
      <c r="C765" t="s">
        <v>54</v>
      </c>
      <c r="D765" t="s">
        <v>15</v>
      </c>
      <c r="E765" t="s">
        <v>30</v>
      </c>
      <c r="F765">
        <v>394.27</v>
      </c>
      <c r="G765" s="2">
        <f t="shared" si="33"/>
        <v>394.27</v>
      </c>
      <c r="H765">
        <v>1</v>
      </c>
      <c r="I765" s="3">
        <v>0.15</v>
      </c>
      <c r="J765">
        <v>1</v>
      </c>
      <c r="K765">
        <f t="shared" si="34"/>
        <v>394.27</v>
      </c>
      <c r="L765">
        <f t="shared" si="35"/>
        <v>335.12949999999995</v>
      </c>
    </row>
    <row r="766" spans="1:12" x14ac:dyDescent="0.2">
      <c r="A766" t="s">
        <v>103</v>
      </c>
      <c r="B766" s="1">
        <v>45992</v>
      </c>
      <c r="C766" t="s">
        <v>856</v>
      </c>
      <c r="D766" t="s">
        <v>11</v>
      </c>
      <c r="E766" t="s">
        <v>56</v>
      </c>
      <c r="F766">
        <v>1433.41</v>
      </c>
      <c r="G766" s="2">
        <f t="shared" si="33"/>
        <v>1433.41</v>
      </c>
      <c r="H766">
        <v>1</v>
      </c>
      <c r="I766" s="3">
        <v>0</v>
      </c>
      <c r="J766">
        <v>2</v>
      </c>
      <c r="K766">
        <f t="shared" si="34"/>
        <v>1433.41</v>
      </c>
      <c r="L766">
        <f t="shared" si="35"/>
        <v>1433.41</v>
      </c>
    </row>
    <row r="767" spans="1:12" x14ac:dyDescent="0.2">
      <c r="A767" t="s">
        <v>588</v>
      </c>
      <c r="B767" s="1">
        <v>45852</v>
      </c>
      <c r="C767" t="s">
        <v>54</v>
      </c>
      <c r="D767" t="s">
        <v>15</v>
      </c>
      <c r="E767" t="s">
        <v>22</v>
      </c>
      <c r="F767">
        <v>393.53</v>
      </c>
      <c r="G767" s="2">
        <f t="shared" si="33"/>
        <v>393.53</v>
      </c>
      <c r="H767">
        <v>1</v>
      </c>
      <c r="I767" s="3">
        <v>0.15</v>
      </c>
      <c r="J767">
        <v>4</v>
      </c>
      <c r="K767">
        <f t="shared" si="34"/>
        <v>393.53</v>
      </c>
      <c r="L767">
        <f t="shared" si="35"/>
        <v>334.50049999999999</v>
      </c>
    </row>
    <row r="768" spans="1:12" x14ac:dyDescent="0.2">
      <c r="A768" t="s">
        <v>158</v>
      </c>
      <c r="B768" s="1">
        <v>45736</v>
      </c>
      <c r="C768" t="s">
        <v>14</v>
      </c>
      <c r="D768" t="s">
        <v>15</v>
      </c>
      <c r="E768" t="s">
        <v>30</v>
      </c>
      <c r="F768">
        <v>240.08</v>
      </c>
      <c r="G768" s="2">
        <f t="shared" si="33"/>
        <v>240.08</v>
      </c>
      <c r="H768">
        <v>2</v>
      </c>
      <c r="I768" s="3">
        <v>0.2</v>
      </c>
      <c r="J768">
        <v>1</v>
      </c>
      <c r="K768">
        <f t="shared" si="34"/>
        <v>480.16</v>
      </c>
      <c r="L768">
        <f t="shared" si="35"/>
        <v>384.12800000000004</v>
      </c>
    </row>
    <row r="769" spans="1:12" x14ac:dyDescent="0.2">
      <c r="A769" t="s">
        <v>149</v>
      </c>
      <c r="B769" s="1">
        <v>45996</v>
      </c>
      <c r="C769" t="s">
        <v>43</v>
      </c>
      <c r="D769" t="s">
        <v>15</v>
      </c>
      <c r="E769" t="s">
        <v>22</v>
      </c>
      <c r="F769">
        <v>299.10000000000002</v>
      </c>
      <c r="G769" s="2">
        <f t="shared" si="33"/>
        <v>299.10000000000002</v>
      </c>
      <c r="H769">
        <v>1</v>
      </c>
      <c r="I769" s="3">
        <v>0.2</v>
      </c>
      <c r="J769" t="s">
        <v>857</v>
      </c>
      <c r="K769">
        <f t="shared" si="34"/>
        <v>299.10000000000002</v>
      </c>
      <c r="L769">
        <f t="shared" si="35"/>
        <v>239.28000000000003</v>
      </c>
    </row>
    <row r="770" spans="1:12" x14ac:dyDescent="0.2">
      <c r="A770" t="s">
        <v>155</v>
      </c>
      <c r="B770" s="1">
        <v>45968</v>
      </c>
      <c r="C770" t="s">
        <v>43</v>
      </c>
      <c r="D770" t="s">
        <v>15</v>
      </c>
      <c r="E770" t="s">
        <v>56</v>
      </c>
      <c r="F770">
        <v>332.67</v>
      </c>
      <c r="G770" s="2">
        <f t="shared" ref="G770:G792" si="36">IF(F770="", AVERAGEIF(C:C, C770, F:F), F770)</f>
        <v>332.67</v>
      </c>
      <c r="H770">
        <v>1</v>
      </c>
      <c r="I770" s="3">
        <v>0.1</v>
      </c>
      <c r="J770">
        <v>2</v>
      </c>
      <c r="K770">
        <f t="shared" si="34"/>
        <v>332.67</v>
      </c>
      <c r="L770">
        <f t="shared" si="35"/>
        <v>299.40300000000002</v>
      </c>
    </row>
    <row r="771" spans="1:12" x14ac:dyDescent="0.2">
      <c r="A771" t="s">
        <v>201</v>
      </c>
      <c r="B771" s="1">
        <v>45974</v>
      </c>
      <c r="C771" t="s">
        <v>17</v>
      </c>
      <c r="D771" t="s">
        <v>11</v>
      </c>
      <c r="E771" t="s">
        <v>30</v>
      </c>
      <c r="F771">
        <v>1182.1400000000001</v>
      </c>
      <c r="G771" s="2">
        <f t="shared" si="36"/>
        <v>1182.1400000000001</v>
      </c>
      <c r="H771">
        <v>1</v>
      </c>
      <c r="I771" s="3">
        <v>0</v>
      </c>
      <c r="J771">
        <v>2</v>
      </c>
      <c r="K771">
        <f t="shared" ref="K771:K792" si="37">G771*H771</f>
        <v>1182.1400000000001</v>
      </c>
      <c r="L771">
        <f t="shared" ref="L771:L792" si="38">G771*H771*(1-I771)</f>
        <v>1182.1400000000001</v>
      </c>
    </row>
    <row r="772" spans="1:12" x14ac:dyDescent="0.2">
      <c r="A772" t="s">
        <v>276</v>
      </c>
      <c r="B772" s="1">
        <v>45912</v>
      </c>
      <c r="C772" t="s">
        <v>10</v>
      </c>
      <c r="D772" t="s">
        <v>11</v>
      </c>
      <c r="E772" t="s">
        <v>56</v>
      </c>
      <c r="F772">
        <v>1348.96</v>
      </c>
      <c r="G772" s="2">
        <f t="shared" si="36"/>
        <v>1348.96</v>
      </c>
      <c r="H772">
        <v>2</v>
      </c>
      <c r="I772" s="3">
        <v>0.15</v>
      </c>
      <c r="J772">
        <v>4</v>
      </c>
      <c r="K772">
        <f t="shared" si="37"/>
        <v>2697.92</v>
      </c>
      <c r="L772">
        <f t="shared" si="38"/>
        <v>2293.232</v>
      </c>
    </row>
    <row r="773" spans="1:12" x14ac:dyDescent="0.2">
      <c r="A773" t="s">
        <v>687</v>
      </c>
      <c r="B773" s="1">
        <v>45925</v>
      </c>
      <c r="C773" t="s">
        <v>10</v>
      </c>
      <c r="D773" t="s">
        <v>11</v>
      </c>
      <c r="E773" t="s">
        <v>18</v>
      </c>
      <c r="F773">
        <v>1242.6500000000001</v>
      </c>
      <c r="G773" s="2">
        <f t="shared" si="36"/>
        <v>1242.6500000000001</v>
      </c>
      <c r="H773">
        <v>2</v>
      </c>
      <c r="I773" s="3">
        <v>0</v>
      </c>
      <c r="J773">
        <v>5</v>
      </c>
      <c r="K773">
        <f t="shared" si="37"/>
        <v>2485.3000000000002</v>
      </c>
      <c r="L773">
        <f t="shared" si="38"/>
        <v>2485.3000000000002</v>
      </c>
    </row>
    <row r="774" spans="1:12" x14ac:dyDescent="0.2">
      <c r="A774" t="s">
        <v>336</v>
      </c>
      <c r="B774" s="1">
        <v>45678</v>
      </c>
      <c r="C774" t="s">
        <v>43</v>
      </c>
      <c r="D774" t="s">
        <v>15</v>
      </c>
      <c r="E774" t="s">
        <v>30</v>
      </c>
      <c r="F774">
        <v>256.52999999999997</v>
      </c>
      <c r="G774" s="2">
        <f t="shared" si="36"/>
        <v>256.52999999999997</v>
      </c>
      <c r="H774">
        <v>10</v>
      </c>
      <c r="I774" s="3">
        <v>0</v>
      </c>
      <c r="J774">
        <v>5</v>
      </c>
      <c r="K774">
        <f t="shared" si="37"/>
        <v>2565.2999999999997</v>
      </c>
      <c r="L774">
        <f t="shared" si="38"/>
        <v>2565.2999999999997</v>
      </c>
    </row>
    <row r="775" spans="1:12" x14ac:dyDescent="0.2">
      <c r="A775" t="s">
        <v>596</v>
      </c>
      <c r="B775" s="1">
        <v>45659</v>
      </c>
      <c r="C775" t="s">
        <v>43</v>
      </c>
      <c r="D775" t="s">
        <v>15</v>
      </c>
      <c r="E775" t="s">
        <v>30</v>
      </c>
      <c r="F775">
        <v>376.61</v>
      </c>
      <c r="G775" s="2">
        <f t="shared" si="36"/>
        <v>376.61</v>
      </c>
      <c r="H775">
        <v>1</v>
      </c>
      <c r="I775" s="3">
        <v>0.2</v>
      </c>
      <c r="J775">
        <v>2</v>
      </c>
      <c r="K775">
        <f t="shared" si="37"/>
        <v>376.61</v>
      </c>
      <c r="L775">
        <f t="shared" si="38"/>
        <v>301.28800000000001</v>
      </c>
    </row>
    <row r="776" spans="1:12" x14ac:dyDescent="0.2">
      <c r="A776" t="s">
        <v>474</v>
      </c>
      <c r="B776" s="1">
        <v>45951</v>
      </c>
      <c r="C776" t="s">
        <v>26</v>
      </c>
      <c r="D776" t="s">
        <v>27</v>
      </c>
      <c r="E776" t="s">
        <v>56</v>
      </c>
      <c r="F776">
        <v>673.27</v>
      </c>
      <c r="G776" s="2">
        <f t="shared" si="36"/>
        <v>673.27</v>
      </c>
      <c r="H776">
        <v>10</v>
      </c>
      <c r="I776" s="3">
        <v>0</v>
      </c>
      <c r="J776">
        <v>2</v>
      </c>
      <c r="K776">
        <f t="shared" si="37"/>
        <v>6732.7</v>
      </c>
      <c r="L776">
        <f t="shared" si="38"/>
        <v>6732.7</v>
      </c>
    </row>
    <row r="777" spans="1:12" x14ac:dyDescent="0.2">
      <c r="A777" t="s">
        <v>705</v>
      </c>
      <c r="B777" s="1">
        <v>45696</v>
      </c>
      <c r="C777" t="s">
        <v>10</v>
      </c>
      <c r="D777" t="s">
        <v>11</v>
      </c>
      <c r="E777" t="s">
        <v>56</v>
      </c>
      <c r="F777">
        <v>1334.35</v>
      </c>
      <c r="G777" s="2">
        <f t="shared" si="36"/>
        <v>1334.35</v>
      </c>
      <c r="H777">
        <v>1</v>
      </c>
      <c r="I777" s="3">
        <v>0</v>
      </c>
      <c r="J777">
        <v>4</v>
      </c>
      <c r="K777">
        <f t="shared" si="37"/>
        <v>1334.35</v>
      </c>
      <c r="L777">
        <f t="shared" si="38"/>
        <v>1334.35</v>
      </c>
    </row>
    <row r="778" spans="1:12" x14ac:dyDescent="0.2">
      <c r="A778" t="s">
        <v>559</v>
      </c>
      <c r="B778" s="1">
        <v>45793</v>
      </c>
      <c r="C778" t="s">
        <v>14</v>
      </c>
      <c r="D778" t="s">
        <v>15</v>
      </c>
      <c r="E778" t="s">
        <v>18</v>
      </c>
      <c r="F778">
        <v>425.65</v>
      </c>
      <c r="G778" s="2">
        <f t="shared" si="36"/>
        <v>425.65</v>
      </c>
      <c r="H778">
        <v>10</v>
      </c>
      <c r="I778" s="3">
        <v>0</v>
      </c>
      <c r="J778">
        <v>2</v>
      </c>
      <c r="K778">
        <f t="shared" si="37"/>
        <v>4256.5</v>
      </c>
      <c r="L778">
        <f t="shared" si="38"/>
        <v>4256.5</v>
      </c>
    </row>
    <row r="779" spans="1:12" x14ac:dyDescent="0.2">
      <c r="A779" t="s">
        <v>151</v>
      </c>
      <c r="B779" s="1">
        <v>45678</v>
      </c>
      <c r="C779" t="s">
        <v>10</v>
      </c>
      <c r="D779" t="s">
        <v>11</v>
      </c>
      <c r="E779" t="s">
        <v>30</v>
      </c>
      <c r="F779">
        <v>1400.14</v>
      </c>
      <c r="G779" s="2">
        <f t="shared" si="36"/>
        <v>1400.14</v>
      </c>
      <c r="H779">
        <v>2</v>
      </c>
      <c r="I779" s="3">
        <v>0</v>
      </c>
      <c r="J779">
        <v>5</v>
      </c>
      <c r="K779">
        <f t="shared" si="37"/>
        <v>2800.28</v>
      </c>
      <c r="L779">
        <f t="shared" si="38"/>
        <v>2800.28</v>
      </c>
    </row>
    <row r="780" spans="1:12" x14ac:dyDescent="0.2">
      <c r="A780" t="s">
        <v>829</v>
      </c>
      <c r="B780" s="1">
        <v>45717</v>
      </c>
      <c r="C780" t="s">
        <v>54</v>
      </c>
      <c r="D780" t="s">
        <v>15</v>
      </c>
      <c r="E780" t="s">
        <v>30</v>
      </c>
      <c r="F780">
        <v>382.14</v>
      </c>
      <c r="G780" s="2">
        <f t="shared" si="36"/>
        <v>382.14</v>
      </c>
      <c r="H780">
        <v>1</v>
      </c>
      <c r="I780" s="3">
        <v>0</v>
      </c>
      <c r="J780">
        <v>1</v>
      </c>
      <c r="K780">
        <f t="shared" si="37"/>
        <v>382.14</v>
      </c>
      <c r="L780">
        <f t="shared" si="38"/>
        <v>382.14</v>
      </c>
    </row>
    <row r="781" spans="1:12" x14ac:dyDescent="0.2">
      <c r="A781" t="s">
        <v>747</v>
      </c>
      <c r="B781" s="1">
        <v>45997</v>
      </c>
      <c r="C781" t="s">
        <v>10</v>
      </c>
      <c r="D781" t="s">
        <v>11</v>
      </c>
      <c r="E781" t="s">
        <v>30</v>
      </c>
      <c r="F781">
        <v>1183.1600000000001</v>
      </c>
      <c r="G781" s="2">
        <f t="shared" si="36"/>
        <v>1183.1600000000001</v>
      </c>
      <c r="H781">
        <v>1</v>
      </c>
      <c r="I781" s="3">
        <v>0</v>
      </c>
      <c r="J781">
        <v>5</v>
      </c>
      <c r="K781">
        <f t="shared" si="37"/>
        <v>1183.1600000000001</v>
      </c>
      <c r="L781">
        <f t="shared" si="38"/>
        <v>1183.1600000000001</v>
      </c>
    </row>
    <row r="782" spans="1:12" x14ac:dyDescent="0.2">
      <c r="A782" t="s">
        <v>484</v>
      </c>
      <c r="B782" s="1">
        <v>45976</v>
      </c>
      <c r="C782" t="s">
        <v>26</v>
      </c>
      <c r="D782" t="s">
        <v>27</v>
      </c>
      <c r="E782" t="s">
        <v>22</v>
      </c>
      <c r="F782">
        <v>400.68</v>
      </c>
      <c r="G782" s="2">
        <f t="shared" si="36"/>
        <v>400.68</v>
      </c>
      <c r="H782">
        <v>2</v>
      </c>
      <c r="I782" s="3">
        <v>0.2</v>
      </c>
      <c r="J782">
        <v>2</v>
      </c>
      <c r="K782">
        <f t="shared" si="37"/>
        <v>801.36</v>
      </c>
      <c r="L782">
        <f t="shared" si="38"/>
        <v>641.08800000000008</v>
      </c>
    </row>
    <row r="783" spans="1:12" x14ac:dyDescent="0.2">
      <c r="A783" t="s">
        <v>640</v>
      </c>
      <c r="B783" s="1">
        <v>45833</v>
      </c>
      <c r="C783" t="s">
        <v>43</v>
      </c>
      <c r="D783" t="s">
        <v>15</v>
      </c>
      <c r="E783" t="s">
        <v>18</v>
      </c>
      <c r="F783">
        <v>380.07</v>
      </c>
      <c r="G783" s="2">
        <f t="shared" si="36"/>
        <v>380.07</v>
      </c>
      <c r="H783">
        <v>1</v>
      </c>
      <c r="I783" s="3">
        <v>0</v>
      </c>
      <c r="J783">
        <v>5</v>
      </c>
      <c r="K783">
        <f t="shared" si="37"/>
        <v>380.07</v>
      </c>
      <c r="L783">
        <f t="shared" si="38"/>
        <v>380.07</v>
      </c>
    </row>
    <row r="784" spans="1:12" x14ac:dyDescent="0.2">
      <c r="A784" t="s">
        <v>53</v>
      </c>
      <c r="B784" s="1">
        <v>45797</v>
      </c>
      <c r="C784" t="s">
        <v>54</v>
      </c>
      <c r="D784" t="s">
        <v>15</v>
      </c>
      <c r="E784" t="s">
        <v>22</v>
      </c>
      <c r="G784" s="2">
        <f t="shared" si="36"/>
        <v>351.86434782608688</v>
      </c>
      <c r="H784">
        <v>5</v>
      </c>
      <c r="I784" s="3">
        <v>0.2</v>
      </c>
      <c r="J784">
        <v>5</v>
      </c>
      <c r="K784">
        <f t="shared" si="37"/>
        <v>1759.3217391304345</v>
      </c>
      <c r="L784">
        <f t="shared" si="38"/>
        <v>1407.4573913043478</v>
      </c>
    </row>
    <row r="785" spans="1:12" x14ac:dyDescent="0.2">
      <c r="A785" t="s">
        <v>537</v>
      </c>
      <c r="B785" s="1">
        <v>45990</v>
      </c>
      <c r="C785" t="s">
        <v>10</v>
      </c>
      <c r="D785" t="s">
        <v>11</v>
      </c>
      <c r="E785" t="s">
        <v>22</v>
      </c>
      <c r="F785">
        <v>1265.18</v>
      </c>
      <c r="G785" s="2">
        <f t="shared" si="36"/>
        <v>1265.18</v>
      </c>
      <c r="H785">
        <v>1</v>
      </c>
      <c r="I785" s="3">
        <v>0</v>
      </c>
      <c r="J785">
        <v>3</v>
      </c>
      <c r="K785">
        <f t="shared" si="37"/>
        <v>1265.18</v>
      </c>
      <c r="L785">
        <f t="shared" si="38"/>
        <v>1265.18</v>
      </c>
    </row>
    <row r="786" spans="1:12" x14ac:dyDescent="0.2">
      <c r="A786" t="s">
        <v>238</v>
      </c>
      <c r="B786" s="1">
        <v>45688</v>
      </c>
      <c r="C786" t="s">
        <v>29</v>
      </c>
      <c r="D786" t="s">
        <v>15</v>
      </c>
      <c r="E786" t="s">
        <v>860</v>
      </c>
      <c r="F786">
        <v>260.63</v>
      </c>
      <c r="G786" s="2">
        <f t="shared" si="36"/>
        <v>260.63</v>
      </c>
      <c r="H786">
        <v>1</v>
      </c>
      <c r="I786" s="3">
        <v>0</v>
      </c>
      <c r="J786">
        <v>5</v>
      </c>
      <c r="K786">
        <f t="shared" si="37"/>
        <v>260.63</v>
      </c>
      <c r="L786">
        <f t="shared" si="38"/>
        <v>260.63</v>
      </c>
    </row>
    <row r="787" spans="1:12" x14ac:dyDescent="0.2">
      <c r="A787" t="s">
        <v>464</v>
      </c>
      <c r="B787" s="1">
        <v>45905</v>
      </c>
      <c r="C787" t="s">
        <v>26</v>
      </c>
      <c r="D787" t="s">
        <v>27</v>
      </c>
      <c r="E787" t="s">
        <v>56</v>
      </c>
      <c r="F787">
        <v>470.27</v>
      </c>
      <c r="G787" s="2">
        <f t="shared" si="36"/>
        <v>470.27</v>
      </c>
      <c r="H787">
        <v>10</v>
      </c>
      <c r="I787" s="3">
        <v>0</v>
      </c>
      <c r="J787">
        <v>5</v>
      </c>
      <c r="K787">
        <f t="shared" si="37"/>
        <v>4702.7</v>
      </c>
      <c r="L787">
        <f t="shared" si="38"/>
        <v>4702.7</v>
      </c>
    </row>
    <row r="788" spans="1:12" x14ac:dyDescent="0.2">
      <c r="A788" t="s">
        <v>798</v>
      </c>
      <c r="B788" s="1">
        <v>45971</v>
      </c>
      <c r="C788" t="s">
        <v>10</v>
      </c>
      <c r="D788" t="s">
        <v>11</v>
      </c>
      <c r="E788" t="s">
        <v>18</v>
      </c>
      <c r="F788">
        <v>1452.76</v>
      </c>
      <c r="G788" s="2">
        <f t="shared" si="36"/>
        <v>1452.76</v>
      </c>
      <c r="H788">
        <v>1</v>
      </c>
      <c r="I788" s="3">
        <v>0.2</v>
      </c>
      <c r="J788">
        <v>3</v>
      </c>
      <c r="K788">
        <f t="shared" si="37"/>
        <v>1452.76</v>
      </c>
      <c r="L788">
        <f t="shared" si="38"/>
        <v>1162.2080000000001</v>
      </c>
    </row>
    <row r="789" spans="1:12" x14ac:dyDescent="0.2">
      <c r="A789" t="s">
        <v>533</v>
      </c>
      <c r="B789" s="1">
        <v>45715</v>
      </c>
      <c r="C789" t="s">
        <v>14</v>
      </c>
      <c r="D789" t="s">
        <v>15</v>
      </c>
      <c r="E789" t="s">
        <v>22</v>
      </c>
      <c r="F789">
        <v>347.23</v>
      </c>
      <c r="G789" s="2">
        <f t="shared" si="36"/>
        <v>347.23</v>
      </c>
      <c r="H789">
        <v>5</v>
      </c>
      <c r="I789" s="3">
        <v>0.1</v>
      </c>
      <c r="J789">
        <v>1</v>
      </c>
      <c r="K789">
        <f t="shared" si="37"/>
        <v>1736.15</v>
      </c>
      <c r="L789">
        <f t="shared" si="38"/>
        <v>1562.5350000000001</v>
      </c>
    </row>
    <row r="790" spans="1:12" x14ac:dyDescent="0.2">
      <c r="A790" t="s">
        <v>628</v>
      </c>
      <c r="B790" s="1">
        <v>45993</v>
      </c>
      <c r="C790" t="s">
        <v>34</v>
      </c>
      <c r="D790" t="s">
        <v>11</v>
      </c>
      <c r="E790" t="s">
        <v>18</v>
      </c>
      <c r="F790">
        <v>1363.56</v>
      </c>
      <c r="G790" s="2">
        <f t="shared" si="36"/>
        <v>1363.56</v>
      </c>
      <c r="H790">
        <v>3</v>
      </c>
      <c r="I790" s="3">
        <v>0</v>
      </c>
      <c r="J790" t="s">
        <v>857</v>
      </c>
      <c r="K790">
        <f t="shared" si="37"/>
        <v>4090.68</v>
      </c>
      <c r="L790">
        <f t="shared" si="38"/>
        <v>4090.68</v>
      </c>
    </row>
    <row r="791" spans="1:12" x14ac:dyDescent="0.2">
      <c r="A791" t="s">
        <v>99</v>
      </c>
      <c r="B791" s="1">
        <v>45953</v>
      </c>
      <c r="C791" t="s">
        <v>10</v>
      </c>
      <c r="D791" t="s">
        <v>11</v>
      </c>
      <c r="E791" t="s">
        <v>30</v>
      </c>
      <c r="F791">
        <v>1206.8</v>
      </c>
      <c r="G791" s="2">
        <f t="shared" si="36"/>
        <v>1206.8</v>
      </c>
      <c r="H791">
        <v>2</v>
      </c>
      <c r="I791" s="3">
        <v>0.2</v>
      </c>
      <c r="J791">
        <v>5</v>
      </c>
      <c r="K791">
        <f t="shared" si="37"/>
        <v>2413.6</v>
      </c>
      <c r="L791">
        <f t="shared" si="38"/>
        <v>1930.88</v>
      </c>
    </row>
    <row r="792" spans="1:12" x14ac:dyDescent="0.2">
      <c r="A792" t="s">
        <v>729</v>
      </c>
      <c r="B792" s="1">
        <v>46010</v>
      </c>
      <c r="C792" t="s">
        <v>17</v>
      </c>
      <c r="D792" t="s">
        <v>11</v>
      </c>
      <c r="E792" t="s">
        <v>56</v>
      </c>
      <c r="F792">
        <v>1207.1400000000001</v>
      </c>
      <c r="G792" s="2">
        <f t="shared" si="36"/>
        <v>1207.1400000000001</v>
      </c>
      <c r="H792">
        <v>1</v>
      </c>
      <c r="I792" s="3">
        <v>0.1</v>
      </c>
      <c r="J792">
        <v>4</v>
      </c>
      <c r="K792">
        <f t="shared" si="37"/>
        <v>1207.1400000000001</v>
      </c>
      <c r="L792">
        <f t="shared" si="38"/>
        <v>1086.4260000000002</v>
      </c>
    </row>
    <row r="793" spans="1:12" x14ac:dyDescent="0.2">
      <c r="B793"/>
      <c r="G793"/>
      <c r="I793"/>
    </row>
    <row r="794" spans="1:12" x14ac:dyDescent="0.2">
      <c r="B794"/>
      <c r="G794"/>
      <c r="I794"/>
    </row>
    <row r="795" spans="1:12" x14ac:dyDescent="0.2">
      <c r="B795"/>
      <c r="G795"/>
      <c r="I795"/>
    </row>
    <row r="796" spans="1:12" x14ac:dyDescent="0.2">
      <c r="B796"/>
      <c r="G796"/>
      <c r="I796"/>
    </row>
    <row r="797" spans="1:12" x14ac:dyDescent="0.2">
      <c r="B797"/>
      <c r="G797"/>
      <c r="I797"/>
    </row>
    <row r="798" spans="1:12" x14ac:dyDescent="0.2">
      <c r="B798"/>
      <c r="G798"/>
      <c r="I798"/>
    </row>
    <row r="799" spans="1:12" x14ac:dyDescent="0.2">
      <c r="B799"/>
      <c r="G799"/>
      <c r="I799"/>
    </row>
    <row r="800" spans="1:12" x14ac:dyDescent="0.2">
      <c r="B800"/>
      <c r="G800"/>
      <c r="I800"/>
    </row>
    <row r="801" spans="2:9" x14ac:dyDescent="0.2">
      <c r="B801"/>
      <c r="G801"/>
      <c r="I801"/>
    </row>
    <row r="802" spans="2:9" x14ac:dyDescent="0.2">
      <c r="B802"/>
      <c r="G802"/>
      <c r="I802"/>
    </row>
    <row r="803" spans="2:9" x14ac:dyDescent="0.2">
      <c r="B803"/>
      <c r="G803"/>
      <c r="I803"/>
    </row>
    <row r="804" spans="2:9" x14ac:dyDescent="0.2">
      <c r="B804"/>
      <c r="G804"/>
      <c r="I804"/>
    </row>
    <row r="805" spans="2:9" x14ac:dyDescent="0.2">
      <c r="B805"/>
      <c r="G805"/>
      <c r="I805"/>
    </row>
    <row r="806" spans="2:9" x14ac:dyDescent="0.2">
      <c r="B806"/>
      <c r="G806"/>
      <c r="I806"/>
    </row>
    <row r="807" spans="2:9" x14ac:dyDescent="0.2">
      <c r="B807"/>
      <c r="G807"/>
      <c r="I807"/>
    </row>
    <row r="808" spans="2:9" x14ac:dyDescent="0.2">
      <c r="B808"/>
      <c r="G808"/>
      <c r="I808"/>
    </row>
    <row r="809" spans="2:9" x14ac:dyDescent="0.2">
      <c r="B809"/>
      <c r="G809"/>
      <c r="I809"/>
    </row>
    <row r="810" spans="2:9" x14ac:dyDescent="0.2">
      <c r="B810"/>
      <c r="G810"/>
      <c r="I810"/>
    </row>
    <row r="811" spans="2:9" x14ac:dyDescent="0.2">
      <c r="B811"/>
      <c r="G811"/>
      <c r="I811"/>
    </row>
    <row r="812" spans="2:9" x14ac:dyDescent="0.2">
      <c r="B812"/>
      <c r="G812"/>
      <c r="I812"/>
    </row>
    <row r="813" spans="2:9" x14ac:dyDescent="0.2">
      <c r="B813"/>
      <c r="G813"/>
      <c r="I813"/>
    </row>
    <row r="814" spans="2:9" x14ac:dyDescent="0.2">
      <c r="B814"/>
      <c r="G814"/>
      <c r="I814"/>
    </row>
    <row r="815" spans="2:9" x14ac:dyDescent="0.2">
      <c r="B815"/>
      <c r="G815"/>
      <c r="I815"/>
    </row>
    <row r="816" spans="2:9" x14ac:dyDescent="0.2">
      <c r="B816"/>
      <c r="G816"/>
      <c r="I816"/>
    </row>
    <row r="817" spans="2:9" x14ac:dyDescent="0.2">
      <c r="B817"/>
      <c r="G817"/>
      <c r="I817"/>
    </row>
    <row r="818" spans="2:9" x14ac:dyDescent="0.2">
      <c r="B818"/>
      <c r="G818"/>
      <c r="I818"/>
    </row>
    <row r="819" spans="2:9" x14ac:dyDescent="0.2">
      <c r="B819"/>
      <c r="G819"/>
      <c r="I819"/>
    </row>
    <row r="820" spans="2:9" x14ac:dyDescent="0.2">
      <c r="B820"/>
      <c r="G820"/>
      <c r="I820"/>
    </row>
    <row r="821" spans="2:9" x14ac:dyDescent="0.2">
      <c r="B821"/>
      <c r="G821"/>
      <c r="I821"/>
    </row>
    <row r="822" spans="2:9" x14ac:dyDescent="0.2">
      <c r="B822"/>
      <c r="G822"/>
      <c r="I822"/>
    </row>
  </sheetData>
  <autoFilter ref="A1:J79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26"/>
  <sheetViews>
    <sheetView tabSelected="1" workbookViewId="0">
      <selection activeCell="A19" sqref="A19"/>
    </sheetView>
  </sheetViews>
  <sheetFormatPr baseColWidth="10" defaultRowHeight="16" x14ac:dyDescent="0.2"/>
  <cols>
    <col min="1" max="1" width="23.83203125" bestFit="1" customWidth="1"/>
    <col min="2" max="2" width="15.5" style="6" bestFit="1" customWidth="1"/>
    <col min="3" max="7" width="12.1640625" bestFit="1" customWidth="1"/>
    <col min="8" max="9" width="11.33203125" bestFit="1" customWidth="1"/>
    <col min="10" max="10" width="14.33203125" bestFit="1" customWidth="1"/>
    <col min="11" max="11" width="10.83203125" bestFit="1" customWidth="1"/>
    <col min="12" max="12" width="12.5" bestFit="1" customWidth="1"/>
    <col min="13" max="16" width="8.1640625" bestFit="1" customWidth="1"/>
    <col min="17" max="17" width="15" bestFit="1" customWidth="1"/>
    <col min="18" max="18" width="14" bestFit="1" customWidth="1"/>
    <col min="19" max="19" width="11.1640625" bestFit="1" customWidth="1"/>
    <col min="20" max="21" width="8.1640625" bestFit="1" customWidth="1"/>
    <col min="22" max="22" width="12.1640625" bestFit="1" customWidth="1"/>
    <col min="23" max="23" width="8" bestFit="1" customWidth="1"/>
    <col min="24" max="24" width="16.6640625" bestFit="1" customWidth="1"/>
    <col min="25" max="25" width="21.1640625" bestFit="1" customWidth="1"/>
    <col min="26" max="26" width="11.1640625" bestFit="1" customWidth="1"/>
    <col min="27" max="28" width="12.1640625" bestFit="1" customWidth="1"/>
    <col min="29" max="29" width="8.1640625" bestFit="1" customWidth="1"/>
    <col min="30" max="30" width="8" bestFit="1" customWidth="1"/>
    <col min="31" max="31" width="23.83203125" bestFit="1" customWidth="1"/>
    <col min="32" max="32" width="12.6640625" bestFit="1" customWidth="1"/>
    <col min="33" max="34" width="12.1640625" bestFit="1" customWidth="1"/>
    <col min="35" max="35" width="8.1640625" bestFit="1" customWidth="1"/>
    <col min="36" max="36" width="12.1640625" bestFit="1" customWidth="1"/>
    <col min="37" max="37" width="8" bestFit="1" customWidth="1"/>
    <col min="38" max="38" width="15.1640625" bestFit="1" customWidth="1"/>
    <col min="39" max="39" width="13.1640625" bestFit="1" customWidth="1"/>
    <col min="40" max="42" width="9.1640625" bestFit="1" customWidth="1"/>
    <col min="43" max="43" width="12.1640625" bestFit="1" customWidth="1"/>
    <col min="44" max="44" width="8.1640625" bestFit="1" customWidth="1"/>
    <col min="45" max="45" width="15.6640625" bestFit="1" customWidth="1"/>
    <col min="46" max="46" width="13.5" bestFit="1" customWidth="1"/>
    <col min="47" max="47" width="9.1640625" bestFit="1" customWidth="1"/>
    <col min="48" max="48" width="7.1640625" bestFit="1" customWidth="1"/>
    <col min="49" max="49" width="8.1640625" bestFit="1" customWidth="1"/>
    <col min="50" max="51" width="9.1640625" bestFit="1" customWidth="1"/>
    <col min="52" max="52" width="16" bestFit="1" customWidth="1"/>
    <col min="53" max="53" width="13.5" bestFit="1" customWidth="1"/>
    <col min="54" max="55" width="12.1640625" bestFit="1" customWidth="1"/>
    <col min="56" max="56" width="9.1640625" bestFit="1" customWidth="1"/>
    <col min="57" max="57" width="12.1640625" bestFit="1" customWidth="1"/>
    <col min="58" max="58" width="8.1640625" bestFit="1" customWidth="1"/>
    <col min="59" max="59" width="16" bestFit="1" customWidth="1"/>
    <col min="60" max="60" width="16.5" bestFit="1" customWidth="1"/>
    <col min="61" max="63" width="12.1640625" bestFit="1" customWidth="1"/>
    <col min="64" max="65" width="8.1640625" bestFit="1" customWidth="1"/>
    <col min="66" max="66" width="19.1640625" bestFit="1" customWidth="1"/>
    <col min="67" max="67" width="12.1640625" bestFit="1" customWidth="1"/>
  </cols>
  <sheetData>
    <row r="1" spans="1:6" x14ac:dyDescent="0.2">
      <c r="A1" s="4" t="s">
        <v>863</v>
      </c>
      <c r="B1" s="4" t="s">
        <v>876</v>
      </c>
    </row>
    <row r="2" spans="1:6" x14ac:dyDescent="0.2">
      <c r="A2" s="4" t="s">
        <v>861</v>
      </c>
      <c r="B2" t="s">
        <v>15</v>
      </c>
      <c r="C2" t="s">
        <v>21</v>
      </c>
      <c r="D2" t="s">
        <v>11</v>
      </c>
      <c r="E2" t="s">
        <v>27</v>
      </c>
      <c r="F2" t="s">
        <v>862</v>
      </c>
    </row>
    <row r="3" spans="1:6" x14ac:dyDescent="0.2">
      <c r="A3" s="5" t="s">
        <v>864</v>
      </c>
      <c r="B3" s="3">
        <v>20624.976923076923</v>
      </c>
      <c r="C3" s="3">
        <v>25051.979000000003</v>
      </c>
      <c r="D3" s="3">
        <v>80895.314553191492</v>
      </c>
      <c r="E3" s="3">
        <v>3576.2649999999999</v>
      </c>
      <c r="F3" s="3">
        <v>130148.53547626841</v>
      </c>
    </row>
    <row r="4" spans="1:6" x14ac:dyDescent="0.2">
      <c r="A4" s="5" t="s">
        <v>865</v>
      </c>
      <c r="B4" s="3">
        <v>21420.715500000006</v>
      </c>
      <c r="C4" s="3">
        <v>35846.169499999996</v>
      </c>
      <c r="D4" s="3">
        <v>120397.23800000001</v>
      </c>
      <c r="E4" s="3">
        <v>3874.6579999999999</v>
      </c>
      <c r="F4" s="3">
        <v>181538.78100000002</v>
      </c>
    </row>
    <row r="5" spans="1:6" x14ac:dyDescent="0.2">
      <c r="A5" s="5" t="s">
        <v>866</v>
      </c>
      <c r="B5" s="3">
        <v>34898.350239130436</v>
      </c>
      <c r="C5" s="3">
        <v>54125.701000000001</v>
      </c>
      <c r="D5" s="3">
        <v>91150.983595744707</v>
      </c>
      <c r="E5" s="3">
        <v>16310.233500000002</v>
      </c>
      <c r="F5" s="3">
        <v>196485.26833487515</v>
      </c>
    </row>
    <row r="6" spans="1:6" x14ac:dyDescent="0.2">
      <c r="A6" s="5" t="s">
        <v>867</v>
      </c>
      <c r="B6" s="3">
        <v>26478.178115384617</v>
      </c>
      <c r="C6" s="3">
        <v>54802.247999999992</v>
      </c>
      <c r="D6" s="3">
        <v>74143.212369565212</v>
      </c>
      <c r="E6" s="3">
        <v>3679.7232380952387</v>
      </c>
      <c r="F6" s="3">
        <v>159103.36172304506</v>
      </c>
    </row>
    <row r="7" spans="1:6" x14ac:dyDescent="0.2">
      <c r="A7" s="5" t="s">
        <v>868</v>
      </c>
      <c r="B7" s="3">
        <v>40949.856891304349</v>
      </c>
      <c r="C7" s="3">
        <v>49649.598999999995</v>
      </c>
      <c r="D7" s="3">
        <v>113665.13299999997</v>
      </c>
      <c r="E7" s="3">
        <v>3329.3804999999998</v>
      </c>
      <c r="F7" s="3">
        <v>207593.96939130433</v>
      </c>
    </row>
    <row r="8" spans="1:6" x14ac:dyDescent="0.2">
      <c r="A8" s="5" t="s">
        <v>869</v>
      </c>
      <c r="B8" s="3">
        <v>19256.225735785956</v>
      </c>
      <c r="C8" s="3">
        <v>83775.465782608677</v>
      </c>
      <c r="D8" s="3">
        <v>83316.301797872351</v>
      </c>
      <c r="E8" s="3">
        <v>1154.3009999999999</v>
      </c>
      <c r="F8" s="3">
        <v>187502.29431626698</v>
      </c>
    </row>
    <row r="9" spans="1:6" x14ac:dyDescent="0.2">
      <c r="A9" s="5" t="s">
        <v>870</v>
      </c>
      <c r="B9" s="3">
        <v>22295.55</v>
      </c>
      <c r="C9" s="3">
        <v>39186.055999999997</v>
      </c>
      <c r="D9" s="3">
        <v>103957.94964324943</v>
      </c>
      <c r="E9" s="3">
        <v>10455.289880952381</v>
      </c>
      <c r="F9" s="3">
        <v>175894.84552420181</v>
      </c>
    </row>
    <row r="10" spans="1:6" x14ac:dyDescent="0.2">
      <c r="A10" s="5" t="s">
        <v>871</v>
      </c>
      <c r="B10" s="3">
        <v>16023.511695652174</v>
      </c>
      <c r="C10" s="3">
        <v>78638.128086956523</v>
      </c>
      <c r="D10" s="3">
        <v>83303.935573684226</v>
      </c>
      <c r="E10" s="3">
        <v>10676.509999999998</v>
      </c>
      <c r="F10" s="3">
        <v>188642.08535629293</v>
      </c>
    </row>
    <row r="11" spans="1:6" x14ac:dyDescent="0.2">
      <c r="A11" s="5" t="s">
        <v>872</v>
      </c>
      <c r="B11" s="3">
        <v>24808.240499999996</v>
      </c>
      <c r="C11" s="3">
        <v>28206.871999999992</v>
      </c>
      <c r="D11" s="3">
        <v>110265.10450000003</v>
      </c>
      <c r="E11" s="3">
        <v>6275.3159999999998</v>
      </c>
      <c r="F11" s="3">
        <v>169555.533</v>
      </c>
    </row>
    <row r="12" spans="1:6" x14ac:dyDescent="0.2">
      <c r="A12" s="5" t="s">
        <v>873</v>
      </c>
      <c r="B12" s="3">
        <v>30381.810999999998</v>
      </c>
      <c r="C12" s="3">
        <v>43842.176739130431</v>
      </c>
      <c r="D12" s="3">
        <v>115618.07149999999</v>
      </c>
      <c r="E12" s="3">
        <v>11839.675999999999</v>
      </c>
      <c r="F12" s="3">
        <v>201681.73523913042</v>
      </c>
    </row>
    <row r="13" spans="1:6" x14ac:dyDescent="0.2">
      <c r="A13" s="5" t="s">
        <v>874</v>
      </c>
      <c r="B13" s="3">
        <v>15096.339711538461</v>
      </c>
      <c r="C13" s="3">
        <v>32525.270500000006</v>
      </c>
      <c r="D13" s="3">
        <v>108940.76602507598</v>
      </c>
      <c r="E13" s="3">
        <v>2627.962</v>
      </c>
      <c r="F13" s="3">
        <v>159190.33823661445</v>
      </c>
    </row>
    <row r="14" spans="1:6" x14ac:dyDescent="0.2">
      <c r="A14" s="5" t="s">
        <v>875</v>
      </c>
      <c r="B14" s="3">
        <v>24677.437099999999</v>
      </c>
      <c r="C14" s="3">
        <v>49704.985173913039</v>
      </c>
      <c r="D14" s="3">
        <v>163089.80102791768</v>
      </c>
      <c r="E14" s="3">
        <v>2156.1999999999998</v>
      </c>
      <c r="F14" s="3">
        <v>239628.42330183071</v>
      </c>
    </row>
    <row r="15" spans="1:6" x14ac:dyDescent="0.2">
      <c r="A15" s="5" t="s">
        <v>862</v>
      </c>
      <c r="B15" s="3">
        <v>296911.1934118729</v>
      </c>
      <c r="C15" s="3">
        <v>575354.65078260854</v>
      </c>
      <c r="D15" s="3">
        <v>1248743.8115863011</v>
      </c>
      <c r="E15" s="3">
        <v>75955.515119047617</v>
      </c>
      <c r="F15" s="3">
        <v>2196965.1708998303</v>
      </c>
    </row>
    <row r="16" spans="1:6" x14ac:dyDescent="0.2">
      <c r="B16"/>
    </row>
    <row r="17" spans="1:7" x14ac:dyDescent="0.2">
      <c r="B17"/>
    </row>
    <row r="18" spans="1:7" x14ac:dyDescent="0.2">
      <c r="B18"/>
    </row>
    <row r="19" spans="1:7" x14ac:dyDescent="0.2">
      <c r="A19" s="4" t="s">
        <v>878</v>
      </c>
      <c r="B19" s="4" t="s">
        <v>876</v>
      </c>
    </row>
    <row r="20" spans="1:7" x14ac:dyDescent="0.2">
      <c r="A20" s="4" t="s">
        <v>861</v>
      </c>
      <c r="B20" t="s">
        <v>18</v>
      </c>
      <c r="C20" t="s">
        <v>56</v>
      </c>
      <c r="D20" t="s">
        <v>30</v>
      </c>
      <c r="E20" t="s">
        <v>22</v>
      </c>
      <c r="F20" t="s">
        <v>860</v>
      </c>
      <c r="G20" t="s">
        <v>862</v>
      </c>
    </row>
    <row r="21" spans="1:7" x14ac:dyDescent="0.2">
      <c r="A21" s="5" t="s">
        <v>32</v>
      </c>
      <c r="B21" s="3">
        <v>1765.094099378882</v>
      </c>
      <c r="C21" s="3">
        <v>1915.9126923076922</v>
      </c>
      <c r="D21" s="3">
        <v>1771.9478260869569</v>
      </c>
      <c r="E21" s="3">
        <v>1723.9603678929766</v>
      </c>
      <c r="F21" s="3">
        <v>2050.63</v>
      </c>
      <c r="G21" s="3">
        <v>1804.6623913043477</v>
      </c>
    </row>
    <row r="22" spans="1:7" x14ac:dyDescent="0.2">
      <c r="A22" s="5" t="s">
        <v>26</v>
      </c>
      <c r="B22" s="3">
        <v>606.93221288515406</v>
      </c>
      <c r="C22" s="3">
        <v>582.43999999999994</v>
      </c>
      <c r="D22" s="3">
        <v>607.745</v>
      </c>
      <c r="E22" s="3">
        <v>547.64333333333332</v>
      </c>
      <c r="F22" s="3"/>
      <c r="G22" s="3">
        <v>591.7588095238093</v>
      </c>
    </row>
    <row r="23" spans="1:7" x14ac:dyDescent="0.2">
      <c r="A23" s="5" t="s">
        <v>54</v>
      </c>
      <c r="B23" s="3">
        <v>355.90255599473011</v>
      </c>
      <c r="C23" s="3">
        <v>356.614248447205</v>
      </c>
      <c r="D23" s="3">
        <v>354.37294117647059</v>
      </c>
      <c r="E23" s="3">
        <v>332.58366847826085</v>
      </c>
      <c r="F23" s="3">
        <v>313.71000000000004</v>
      </c>
      <c r="G23" s="3">
        <v>351.864347826087</v>
      </c>
    </row>
    <row r="24" spans="1:7" x14ac:dyDescent="0.2">
      <c r="A24" s="5" t="s">
        <v>17</v>
      </c>
      <c r="B24" s="3">
        <v>1176.7198865248226</v>
      </c>
      <c r="C24" s="3">
        <v>1252.3163069908817</v>
      </c>
      <c r="D24" s="3">
        <v>1132.09304964539</v>
      </c>
      <c r="E24" s="3">
        <v>1087.4614285714288</v>
      </c>
      <c r="F24" s="3">
        <v>1224.9666666666667</v>
      </c>
      <c r="G24" s="3">
        <v>1177.5582978723403</v>
      </c>
    </row>
    <row r="25" spans="1:7" x14ac:dyDescent="0.2">
      <c r="A25" s="5" t="s">
        <v>29</v>
      </c>
      <c r="B25" s="3">
        <v>354.53039663461533</v>
      </c>
      <c r="C25" s="3">
        <v>328.06539663461541</v>
      </c>
      <c r="D25" s="3">
        <v>330.07664201183434</v>
      </c>
      <c r="E25" s="3">
        <v>334.35514957264957</v>
      </c>
      <c r="F25" s="3">
        <v>313.27499999999998</v>
      </c>
      <c r="G25" s="3">
        <v>336.5763461538462</v>
      </c>
    </row>
    <row r="26" spans="1:7" x14ac:dyDescent="0.2">
      <c r="A26" s="5" t="s">
        <v>10</v>
      </c>
      <c r="B26" s="3">
        <v>1172.9280555555558</v>
      </c>
      <c r="C26" s="3">
        <v>1160.7622580645163</v>
      </c>
      <c r="D26" s="3">
        <v>1151.8197368421054</v>
      </c>
      <c r="E26" s="3">
        <v>1188.7635994397758</v>
      </c>
      <c r="F26" s="3">
        <v>1175.694</v>
      </c>
      <c r="G26" s="3">
        <v>1165.8711904761908</v>
      </c>
    </row>
    <row r="27" spans="1:7" x14ac:dyDescent="0.2">
      <c r="A27" s="5" t="s">
        <v>43</v>
      </c>
      <c r="B27" s="3">
        <v>370.48638461538462</v>
      </c>
      <c r="C27" s="3">
        <v>373.94313636363637</v>
      </c>
      <c r="D27" s="3">
        <v>356.15689655172423</v>
      </c>
      <c r="E27" s="3">
        <v>343.39706666666666</v>
      </c>
      <c r="F27" s="3">
        <v>370.7688333333333</v>
      </c>
      <c r="G27" s="3">
        <v>362.89299999999986</v>
      </c>
    </row>
    <row r="28" spans="1:7" x14ac:dyDescent="0.2">
      <c r="A28" s="5" t="s">
        <v>856</v>
      </c>
      <c r="B28" s="3">
        <v>1284.8872030075186</v>
      </c>
      <c r="C28" s="3">
        <v>1213.0808891966763</v>
      </c>
      <c r="D28" s="3">
        <v>1196.5118986354776</v>
      </c>
      <c r="E28" s="3">
        <v>1194.7776052631577</v>
      </c>
      <c r="F28" s="3">
        <v>1342.5066666666669</v>
      </c>
      <c r="G28" s="3">
        <v>1225.2512631578945</v>
      </c>
    </row>
    <row r="29" spans="1:7" x14ac:dyDescent="0.2">
      <c r="A29" s="5" t="s">
        <v>34</v>
      </c>
      <c r="B29" s="3">
        <v>1205.3402445652175</v>
      </c>
      <c r="C29" s="3">
        <v>1162.7153293807639</v>
      </c>
      <c r="D29" s="3">
        <v>1235.8574718196458</v>
      </c>
      <c r="E29" s="3">
        <v>1230.8499999999999</v>
      </c>
      <c r="F29" s="3">
        <v>1417.87</v>
      </c>
      <c r="G29" s="3">
        <v>1206.3558695652173</v>
      </c>
    </row>
    <row r="30" spans="1:7" x14ac:dyDescent="0.2">
      <c r="A30" s="5" t="s">
        <v>862</v>
      </c>
      <c r="B30" s="3">
        <v>937.85835428811038</v>
      </c>
      <c r="C30" s="3">
        <v>970.72579823998797</v>
      </c>
      <c r="D30" s="3">
        <v>952.82963636144791</v>
      </c>
      <c r="E30" s="3">
        <v>891.86550740998837</v>
      </c>
      <c r="F30" s="3">
        <v>914.41012499999999</v>
      </c>
      <c r="G30" s="3">
        <v>944.64155313501055</v>
      </c>
    </row>
    <row r="31" spans="1:7" x14ac:dyDescent="0.2">
      <c r="B31"/>
    </row>
    <row r="32" spans="1:7" x14ac:dyDescent="0.2">
      <c r="B32"/>
    </row>
    <row r="33" spans="1:2" x14ac:dyDescent="0.2">
      <c r="B33"/>
    </row>
    <row r="34" spans="1:2" x14ac:dyDescent="0.2">
      <c r="B34"/>
    </row>
    <row r="35" spans="1:2" x14ac:dyDescent="0.2">
      <c r="A35" s="4" t="s">
        <v>861</v>
      </c>
      <c r="B35" t="s">
        <v>877</v>
      </c>
    </row>
    <row r="36" spans="1:2" x14ac:dyDescent="0.2">
      <c r="A36" s="5" t="s">
        <v>32</v>
      </c>
      <c r="B36" s="3">
        <v>3.6235294117647059</v>
      </c>
    </row>
    <row r="37" spans="1:2" x14ac:dyDescent="0.2">
      <c r="A37" s="5" t="s">
        <v>26</v>
      </c>
      <c r="B37" s="3">
        <v>3.4390243902439024</v>
      </c>
    </row>
    <row r="38" spans="1:2" x14ac:dyDescent="0.2">
      <c r="A38" s="5" t="s">
        <v>54</v>
      </c>
      <c r="B38" s="3">
        <v>3.5</v>
      </c>
    </row>
    <row r="39" spans="1:2" x14ac:dyDescent="0.2">
      <c r="A39" s="5" t="s">
        <v>17</v>
      </c>
      <c r="B39" s="3">
        <v>3.8913043478260869</v>
      </c>
    </row>
    <row r="40" spans="1:2" x14ac:dyDescent="0.2">
      <c r="A40" s="5" t="s">
        <v>29</v>
      </c>
      <c r="B40" s="3">
        <v>3.5576923076923075</v>
      </c>
    </row>
    <row r="41" spans="1:2" x14ac:dyDescent="0.2">
      <c r="A41" s="5" t="s">
        <v>10</v>
      </c>
      <c r="B41" s="3">
        <v>3.6403508771929824</v>
      </c>
    </row>
    <row r="42" spans="1:2" x14ac:dyDescent="0.2">
      <c r="A42" s="5" t="s">
        <v>43</v>
      </c>
      <c r="B42" s="3">
        <v>3.6516853932584268</v>
      </c>
    </row>
    <row r="43" spans="1:2" x14ac:dyDescent="0.2">
      <c r="A43" s="5" t="s">
        <v>856</v>
      </c>
      <c r="B43" s="3">
        <v>3.2272727272727271</v>
      </c>
    </row>
    <row r="44" spans="1:2" x14ac:dyDescent="0.2">
      <c r="A44" s="5" t="s">
        <v>34</v>
      </c>
      <c r="B44" s="3">
        <v>3.7469879518072289</v>
      </c>
    </row>
    <row r="45" spans="1:2" x14ac:dyDescent="0.2">
      <c r="A45" s="5" t="s">
        <v>862</v>
      </c>
      <c r="B45" s="3">
        <v>3.5779036827195467</v>
      </c>
    </row>
    <row r="46" spans="1:2" x14ac:dyDescent="0.2">
      <c r="B46"/>
    </row>
    <row r="47" spans="1:2" x14ac:dyDescent="0.2">
      <c r="B47"/>
    </row>
    <row r="48" spans="1:2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  <row r="64" spans="2:2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  <row r="78" spans="2:2" x14ac:dyDescent="0.2">
      <c r="B78"/>
    </row>
    <row r="79" spans="2:2" x14ac:dyDescent="0.2">
      <c r="B79"/>
    </row>
    <row r="80" spans="2:2" x14ac:dyDescent="0.2">
      <c r="B80"/>
    </row>
    <row r="81" spans="2:2" x14ac:dyDescent="0.2">
      <c r="B81"/>
    </row>
    <row r="82" spans="2:2" x14ac:dyDescent="0.2">
      <c r="B82"/>
    </row>
    <row r="83" spans="2:2" x14ac:dyDescent="0.2">
      <c r="B83"/>
    </row>
    <row r="84" spans="2:2" x14ac:dyDescent="0.2">
      <c r="B84"/>
    </row>
    <row r="85" spans="2:2" x14ac:dyDescent="0.2">
      <c r="B85"/>
    </row>
    <row r="86" spans="2:2" x14ac:dyDescent="0.2">
      <c r="B86"/>
    </row>
    <row r="87" spans="2:2" x14ac:dyDescent="0.2">
      <c r="B87"/>
    </row>
    <row r="88" spans="2:2" x14ac:dyDescent="0.2">
      <c r="B88"/>
    </row>
    <row r="89" spans="2:2" x14ac:dyDescent="0.2">
      <c r="B89"/>
    </row>
    <row r="90" spans="2:2" x14ac:dyDescent="0.2">
      <c r="B90"/>
    </row>
    <row r="91" spans="2:2" x14ac:dyDescent="0.2">
      <c r="B91"/>
    </row>
    <row r="92" spans="2:2" x14ac:dyDescent="0.2">
      <c r="B92"/>
    </row>
    <row r="93" spans="2:2" x14ac:dyDescent="0.2">
      <c r="B93"/>
    </row>
    <row r="94" spans="2:2" x14ac:dyDescent="0.2">
      <c r="B94"/>
    </row>
    <row r="95" spans="2:2" x14ac:dyDescent="0.2">
      <c r="B95"/>
    </row>
    <row r="96" spans="2:2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2:2" x14ac:dyDescent="0.2">
      <c r="B145"/>
    </row>
    <row r="146" spans="2:2" x14ac:dyDescent="0.2">
      <c r="B146"/>
    </row>
    <row r="147" spans="2:2" x14ac:dyDescent="0.2">
      <c r="B147"/>
    </row>
    <row r="148" spans="2:2" x14ac:dyDescent="0.2">
      <c r="B148"/>
    </row>
    <row r="149" spans="2:2" x14ac:dyDescent="0.2">
      <c r="B149"/>
    </row>
    <row r="150" spans="2:2" x14ac:dyDescent="0.2">
      <c r="B150"/>
    </row>
    <row r="151" spans="2:2" x14ac:dyDescent="0.2">
      <c r="B151"/>
    </row>
    <row r="152" spans="2:2" x14ac:dyDescent="0.2">
      <c r="B152"/>
    </row>
    <row r="153" spans="2:2" x14ac:dyDescent="0.2">
      <c r="B153"/>
    </row>
    <row r="154" spans="2:2" x14ac:dyDescent="0.2">
      <c r="B154"/>
    </row>
    <row r="155" spans="2:2" x14ac:dyDescent="0.2">
      <c r="B155"/>
    </row>
    <row r="156" spans="2:2" x14ac:dyDescent="0.2">
      <c r="B156"/>
    </row>
    <row r="157" spans="2:2" x14ac:dyDescent="0.2">
      <c r="B157"/>
    </row>
    <row r="158" spans="2:2" x14ac:dyDescent="0.2">
      <c r="B158"/>
    </row>
    <row r="159" spans="2:2" x14ac:dyDescent="0.2">
      <c r="B159"/>
    </row>
    <row r="160" spans="2:2" x14ac:dyDescent="0.2">
      <c r="B160"/>
    </row>
    <row r="161" spans="2:2" x14ac:dyDescent="0.2">
      <c r="B161"/>
    </row>
    <row r="162" spans="2:2" x14ac:dyDescent="0.2">
      <c r="B162"/>
    </row>
    <row r="163" spans="2:2" x14ac:dyDescent="0.2">
      <c r="B163"/>
    </row>
    <row r="164" spans="2:2" x14ac:dyDescent="0.2">
      <c r="B164"/>
    </row>
    <row r="165" spans="2:2" x14ac:dyDescent="0.2">
      <c r="B165"/>
    </row>
    <row r="166" spans="2:2" x14ac:dyDescent="0.2">
      <c r="B166"/>
    </row>
    <row r="167" spans="2:2" x14ac:dyDescent="0.2">
      <c r="B167"/>
    </row>
    <row r="168" spans="2:2" x14ac:dyDescent="0.2">
      <c r="B168"/>
    </row>
    <row r="169" spans="2:2" x14ac:dyDescent="0.2">
      <c r="B169"/>
    </row>
    <row r="170" spans="2:2" x14ac:dyDescent="0.2">
      <c r="B170"/>
    </row>
    <row r="171" spans="2:2" x14ac:dyDescent="0.2">
      <c r="B171"/>
    </row>
    <row r="172" spans="2:2" x14ac:dyDescent="0.2">
      <c r="B172"/>
    </row>
    <row r="173" spans="2:2" x14ac:dyDescent="0.2">
      <c r="B173"/>
    </row>
    <row r="174" spans="2:2" x14ac:dyDescent="0.2">
      <c r="B174"/>
    </row>
    <row r="175" spans="2:2" x14ac:dyDescent="0.2">
      <c r="B175"/>
    </row>
    <row r="176" spans="2:2" x14ac:dyDescent="0.2">
      <c r="B176"/>
    </row>
    <row r="177" spans="2:2" x14ac:dyDescent="0.2">
      <c r="B177"/>
    </row>
    <row r="178" spans="2:2" x14ac:dyDescent="0.2">
      <c r="B178"/>
    </row>
    <row r="179" spans="2:2" x14ac:dyDescent="0.2">
      <c r="B179"/>
    </row>
    <row r="180" spans="2:2" x14ac:dyDescent="0.2">
      <c r="B180"/>
    </row>
    <row r="181" spans="2:2" x14ac:dyDescent="0.2">
      <c r="B181"/>
    </row>
    <row r="182" spans="2:2" x14ac:dyDescent="0.2">
      <c r="B182"/>
    </row>
    <row r="183" spans="2:2" x14ac:dyDescent="0.2">
      <c r="B183"/>
    </row>
    <row r="184" spans="2:2" x14ac:dyDescent="0.2">
      <c r="B184"/>
    </row>
    <row r="185" spans="2:2" x14ac:dyDescent="0.2">
      <c r="B185"/>
    </row>
    <row r="186" spans="2:2" x14ac:dyDescent="0.2">
      <c r="B186"/>
    </row>
    <row r="187" spans="2:2" x14ac:dyDescent="0.2">
      <c r="B187"/>
    </row>
    <row r="188" spans="2:2" x14ac:dyDescent="0.2">
      <c r="B188"/>
    </row>
    <row r="189" spans="2:2" x14ac:dyDescent="0.2">
      <c r="B189"/>
    </row>
    <row r="190" spans="2:2" x14ac:dyDescent="0.2">
      <c r="B190"/>
    </row>
    <row r="191" spans="2:2" x14ac:dyDescent="0.2">
      <c r="B191"/>
    </row>
    <row r="192" spans="2:2" x14ac:dyDescent="0.2">
      <c r="B192"/>
    </row>
    <row r="193" spans="2:2" x14ac:dyDescent="0.2">
      <c r="B193"/>
    </row>
    <row r="194" spans="2:2" x14ac:dyDescent="0.2">
      <c r="B194"/>
    </row>
    <row r="195" spans="2:2" x14ac:dyDescent="0.2">
      <c r="B195"/>
    </row>
    <row r="196" spans="2:2" x14ac:dyDescent="0.2">
      <c r="B196"/>
    </row>
    <row r="197" spans="2:2" x14ac:dyDescent="0.2">
      <c r="B197"/>
    </row>
    <row r="198" spans="2:2" x14ac:dyDescent="0.2">
      <c r="B198"/>
    </row>
    <row r="199" spans="2:2" x14ac:dyDescent="0.2">
      <c r="B199"/>
    </row>
    <row r="200" spans="2:2" x14ac:dyDescent="0.2">
      <c r="B200"/>
    </row>
    <row r="201" spans="2:2" x14ac:dyDescent="0.2">
      <c r="B201"/>
    </row>
    <row r="202" spans="2:2" x14ac:dyDescent="0.2">
      <c r="B202"/>
    </row>
    <row r="203" spans="2:2" x14ac:dyDescent="0.2">
      <c r="B203"/>
    </row>
    <row r="204" spans="2:2" x14ac:dyDescent="0.2">
      <c r="B204"/>
    </row>
    <row r="205" spans="2:2" x14ac:dyDescent="0.2">
      <c r="B205"/>
    </row>
    <row r="206" spans="2:2" x14ac:dyDescent="0.2">
      <c r="B206"/>
    </row>
    <row r="207" spans="2:2" x14ac:dyDescent="0.2">
      <c r="B207"/>
    </row>
    <row r="208" spans="2:2" x14ac:dyDescent="0.2">
      <c r="B208"/>
    </row>
    <row r="209" spans="2:2" x14ac:dyDescent="0.2">
      <c r="B209"/>
    </row>
    <row r="210" spans="2:2" x14ac:dyDescent="0.2">
      <c r="B210"/>
    </row>
    <row r="211" spans="2:2" x14ac:dyDescent="0.2">
      <c r="B211"/>
    </row>
    <row r="212" spans="2:2" x14ac:dyDescent="0.2">
      <c r="B212"/>
    </row>
    <row r="213" spans="2:2" x14ac:dyDescent="0.2">
      <c r="B213"/>
    </row>
    <row r="214" spans="2:2" x14ac:dyDescent="0.2">
      <c r="B214"/>
    </row>
    <row r="215" spans="2:2" x14ac:dyDescent="0.2">
      <c r="B215"/>
    </row>
    <row r="216" spans="2:2" x14ac:dyDescent="0.2">
      <c r="B216"/>
    </row>
    <row r="217" spans="2:2" x14ac:dyDescent="0.2">
      <c r="B217"/>
    </row>
    <row r="218" spans="2:2" x14ac:dyDescent="0.2">
      <c r="B218"/>
    </row>
    <row r="219" spans="2:2" x14ac:dyDescent="0.2">
      <c r="B219"/>
    </row>
    <row r="220" spans="2:2" x14ac:dyDescent="0.2">
      <c r="B220"/>
    </row>
    <row r="221" spans="2:2" x14ac:dyDescent="0.2">
      <c r="B221"/>
    </row>
    <row r="222" spans="2:2" x14ac:dyDescent="0.2">
      <c r="B222"/>
    </row>
    <row r="223" spans="2:2" x14ac:dyDescent="0.2">
      <c r="B223"/>
    </row>
    <row r="224" spans="2:2" x14ac:dyDescent="0.2">
      <c r="B224"/>
    </row>
    <row r="225" spans="2:2" x14ac:dyDescent="0.2">
      <c r="B225"/>
    </row>
    <row r="226" spans="2:2" x14ac:dyDescent="0.2">
      <c r="B226"/>
    </row>
    <row r="227" spans="2:2" x14ac:dyDescent="0.2">
      <c r="B227"/>
    </row>
    <row r="228" spans="2:2" x14ac:dyDescent="0.2">
      <c r="B228"/>
    </row>
    <row r="229" spans="2:2" x14ac:dyDescent="0.2">
      <c r="B229"/>
    </row>
    <row r="230" spans="2:2" x14ac:dyDescent="0.2">
      <c r="B230"/>
    </row>
    <row r="231" spans="2:2" x14ac:dyDescent="0.2">
      <c r="B231"/>
    </row>
    <row r="232" spans="2:2" x14ac:dyDescent="0.2">
      <c r="B232"/>
    </row>
    <row r="233" spans="2:2" x14ac:dyDescent="0.2">
      <c r="B233"/>
    </row>
    <row r="234" spans="2:2" x14ac:dyDescent="0.2">
      <c r="B234"/>
    </row>
    <row r="235" spans="2:2" x14ac:dyDescent="0.2">
      <c r="B235"/>
    </row>
    <row r="236" spans="2:2" x14ac:dyDescent="0.2">
      <c r="B236"/>
    </row>
    <row r="237" spans="2:2" x14ac:dyDescent="0.2">
      <c r="B237"/>
    </row>
    <row r="238" spans="2:2" x14ac:dyDescent="0.2">
      <c r="B238"/>
    </row>
    <row r="239" spans="2:2" x14ac:dyDescent="0.2">
      <c r="B239"/>
    </row>
    <row r="240" spans="2:2" x14ac:dyDescent="0.2">
      <c r="B240"/>
    </row>
    <row r="241" spans="2:2" x14ac:dyDescent="0.2">
      <c r="B241"/>
    </row>
    <row r="242" spans="2:2" x14ac:dyDescent="0.2">
      <c r="B242"/>
    </row>
    <row r="243" spans="2:2" x14ac:dyDescent="0.2">
      <c r="B243"/>
    </row>
    <row r="244" spans="2:2" x14ac:dyDescent="0.2">
      <c r="B244"/>
    </row>
    <row r="245" spans="2:2" x14ac:dyDescent="0.2">
      <c r="B245"/>
    </row>
    <row r="246" spans="2:2" x14ac:dyDescent="0.2">
      <c r="B246"/>
    </row>
    <row r="247" spans="2:2" x14ac:dyDescent="0.2">
      <c r="B247"/>
    </row>
    <row r="248" spans="2:2" x14ac:dyDescent="0.2">
      <c r="B248"/>
    </row>
    <row r="249" spans="2:2" x14ac:dyDescent="0.2">
      <c r="B249"/>
    </row>
    <row r="250" spans="2:2" x14ac:dyDescent="0.2">
      <c r="B250"/>
    </row>
    <row r="251" spans="2:2" x14ac:dyDescent="0.2">
      <c r="B251"/>
    </row>
    <row r="252" spans="2:2" x14ac:dyDescent="0.2">
      <c r="B252"/>
    </row>
    <row r="253" spans="2:2" x14ac:dyDescent="0.2">
      <c r="B253"/>
    </row>
    <row r="254" spans="2:2" x14ac:dyDescent="0.2">
      <c r="B254"/>
    </row>
    <row r="255" spans="2:2" x14ac:dyDescent="0.2">
      <c r="B255"/>
    </row>
    <row r="256" spans="2:2" x14ac:dyDescent="0.2">
      <c r="B256"/>
    </row>
    <row r="257" spans="2:2" x14ac:dyDescent="0.2">
      <c r="B257"/>
    </row>
    <row r="258" spans="2:2" x14ac:dyDescent="0.2">
      <c r="B258"/>
    </row>
    <row r="259" spans="2:2" x14ac:dyDescent="0.2">
      <c r="B259"/>
    </row>
    <row r="260" spans="2:2" x14ac:dyDescent="0.2">
      <c r="B260"/>
    </row>
    <row r="261" spans="2:2" x14ac:dyDescent="0.2">
      <c r="B261"/>
    </row>
    <row r="262" spans="2:2" x14ac:dyDescent="0.2">
      <c r="B262"/>
    </row>
    <row r="263" spans="2:2" x14ac:dyDescent="0.2">
      <c r="B263"/>
    </row>
    <row r="264" spans="2:2" x14ac:dyDescent="0.2">
      <c r="B264"/>
    </row>
    <row r="265" spans="2:2" x14ac:dyDescent="0.2">
      <c r="B265"/>
    </row>
    <row r="266" spans="2:2" x14ac:dyDescent="0.2">
      <c r="B266"/>
    </row>
    <row r="267" spans="2:2" x14ac:dyDescent="0.2">
      <c r="B267"/>
    </row>
    <row r="268" spans="2:2" x14ac:dyDescent="0.2">
      <c r="B268"/>
    </row>
    <row r="269" spans="2:2" x14ac:dyDescent="0.2">
      <c r="B269"/>
    </row>
    <row r="270" spans="2:2" x14ac:dyDescent="0.2">
      <c r="B270"/>
    </row>
    <row r="271" spans="2:2" x14ac:dyDescent="0.2">
      <c r="B271"/>
    </row>
    <row r="272" spans="2:2" x14ac:dyDescent="0.2">
      <c r="B272"/>
    </row>
    <row r="273" spans="2:2" x14ac:dyDescent="0.2">
      <c r="B273"/>
    </row>
    <row r="274" spans="2:2" x14ac:dyDescent="0.2">
      <c r="B274"/>
    </row>
    <row r="275" spans="2:2" x14ac:dyDescent="0.2">
      <c r="B275"/>
    </row>
    <row r="276" spans="2:2" x14ac:dyDescent="0.2">
      <c r="B276"/>
    </row>
    <row r="277" spans="2:2" x14ac:dyDescent="0.2">
      <c r="B277"/>
    </row>
    <row r="278" spans="2:2" x14ac:dyDescent="0.2">
      <c r="B278"/>
    </row>
    <row r="279" spans="2:2" x14ac:dyDescent="0.2">
      <c r="B279"/>
    </row>
    <row r="280" spans="2:2" x14ac:dyDescent="0.2">
      <c r="B280"/>
    </row>
    <row r="281" spans="2:2" x14ac:dyDescent="0.2">
      <c r="B281"/>
    </row>
    <row r="282" spans="2:2" x14ac:dyDescent="0.2">
      <c r="B282"/>
    </row>
    <row r="283" spans="2:2" x14ac:dyDescent="0.2">
      <c r="B283"/>
    </row>
    <row r="284" spans="2:2" x14ac:dyDescent="0.2">
      <c r="B284"/>
    </row>
    <row r="285" spans="2:2" x14ac:dyDescent="0.2">
      <c r="B285"/>
    </row>
    <row r="286" spans="2:2" x14ac:dyDescent="0.2">
      <c r="B286"/>
    </row>
    <row r="287" spans="2:2" x14ac:dyDescent="0.2">
      <c r="B287"/>
    </row>
    <row r="288" spans="2:2" x14ac:dyDescent="0.2">
      <c r="B288"/>
    </row>
    <row r="289" spans="2:2" x14ac:dyDescent="0.2">
      <c r="B289"/>
    </row>
    <row r="290" spans="2:2" x14ac:dyDescent="0.2">
      <c r="B290"/>
    </row>
    <row r="291" spans="2:2" x14ac:dyDescent="0.2">
      <c r="B291"/>
    </row>
    <row r="292" spans="2:2" x14ac:dyDescent="0.2">
      <c r="B292"/>
    </row>
    <row r="293" spans="2:2" x14ac:dyDescent="0.2">
      <c r="B293"/>
    </row>
    <row r="294" spans="2:2" x14ac:dyDescent="0.2">
      <c r="B294"/>
    </row>
    <row r="295" spans="2:2" x14ac:dyDescent="0.2">
      <c r="B295"/>
    </row>
    <row r="296" spans="2:2" x14ac:dyDescent="0.2">
      <c r="B296"/>
    </row>
    <row r="297" spans="2:2" x14ac:dyDescent="0.2">
      <c r="B297"/>
    </row>
    <row r="298" spans="2:2" x14ac:dyDescent="0.2">
      <c r="B298"/>
    </row>
    <row r="299" spans="2:2" x14ac:dyDescent="0.2">
      <c r="B299"/>
    </row>
    <row r="300" spans="2:2" x14ac:dyDescent="0.2">
      <c r="B300"/>
    </row>
    <row r="301" spans="2:2" x14ac:dyDescent="0.2">
      <c r="B301"/>
    </row>
    <row r="302" spans="2:2" x14ac:dyDescent="0.2">
      <c r="B302"/>
    </row>
    <row r="303" spans="2:2" x14ac:dyDescent="0.2">
      <c r="B303"/>
    </row>
    <row r="304" spans="2:2" x14ac:dyDescent="0.2">
      <c r="B304"/>
    </row>
    <row r="305" spans="2:2" x14ac:dyDescent="0.2">
      <c r="B305"/>
    </row>
    <row r="306" spans="2:2" x14ac:dyDescent="0.2">
      <c r="B306"/>
    </row>
    <row r="307" spans="2:2" x14ac:dyDescent="0.2">
      <c r="B307"/>
    </row>
    <row r="308" spans="2:2" x14ac:dyDescent="0.2">
      <c r="B308"/>
    </row>
    <row r="309" spans="2:2" x14ac:dyDescent="0.2">
      <c r="B309"/>
    </row>
    <row r="310" spans="2:2" x14ac:dyDescent="0.2">
      <c r="B310"/>
    </row>
    <row r="311" spans="2:2" x14ac:dyDescent="0.2">
      <c r="B311"/>
    </row>
    <row r="312" spans="2:2" x14ac:dyDescent="0.2">
      <c r="B312"/>
    </row>
    <row r="313" spans="2:2" x14ac:dyDescent="0.2">
      <c r="B313"/>
    </row>
    <row r="314" spans="2:2" x14ac:dyDescent="0.2">
      <c r="B314"/>
    </row>
    <row r="315" spans="2:2" x14ac:dyDescent="0.2">
      <c r="B315"/>
    </row>
    <row r="316" spans="2:2" x14ac:dyDescent="0.2">
      <c r="B316"/>
    </row>
    <row r="317" spans="2:2" x14ac:dyDescent="0.2">
      <c r="B317"/>
    </row>
    <row r="318" spans="2:2" x14ac:dyDescent="0.2">
      <c r="B318"/>
    </row>
    <row r="319" spans="2:2" x14ac:dyDescent="0.2">
      <c r="B319"/>
    </row>
    <row r="320" spans="2:2" x14ac:dyDescent="0.2">
      <c r="B320"/>
    </row>
    <row r="321" spans="2:2" x14ac:dyDescent="0.2">
      <c r="B321"/>
    </row>
    <row r="322" spans="2:2" x14ac:dyDescent="0.2">
      <c r="B322"/>
    </row>
    <row r="323" spans="2:2" x14ac:dyDescent="0.2">
      <c r="B323"/>
    </row>
    <row r="324" spans="2:2" x14ac:dyDescent="0.2">
      <c r="B324"/>
    </row>
    <row r="325" spans="2:2" x14ac:dyDescent="0.2">
      <c r="B325"/>
    </row>
    <row r="326" spans="2:2" x14ac:dyDescent="0.2">
      <c r="B326"/>
    </row>
    <row r="327" spans="2:2" x14ac:dyDescent="0.2">
      <c r="B327"/>
    </row>
    <row r="328" spans="2:2" x14ac:dyDescent="0.2">
      <c r="B328"/>
    </row>
    <row r="329" spans="2:2" x14ac:dyDescent="0.2">
      <c r="B329"/>
    </row>
    <row r="330" spans="2:2" x14ac:dyDescent="0.2">
      <c r="B330"/>
    </row>
    <row r="331" spans="2:2" x14ac:dyDescent="0.2">
      <c r="B331"/>
    </row>
    <row r="332" spans="2:2" x14ac:dyDescent="0.2">
      <c r="B332"/>
    </row>
    <row r="333" spans="2:2" x14ac:dyDescent="0.2">
      <c r="B333"/>
    </row>
    <row r="334" spans="2:2" x14ac:dyDescent="0.2">
      <c r="B334"/>
    </row>
    <row r="335" spans="2:2" x14ac:dyDescent="0.2">
      <c r="B335"/>
    </row>
    <row r="336" spans="2:2" x14ac:dyDescent="0.2">
      <c r="B336"/>
    </row>
    <row r="337" spans="2:2" x14ac:dyDescent="0.2">
      <c r="B337"/>
    </row>
    <row r="338" spans="2:2" x14ac:dyDescent="0.2">
      <c r="B338"/>
    </row>
    <row r="339" spans="2:2" x14ac:dyDescent="0.2">
      <c r="B339"/>
    </row>
    <row r="340" spans="2:2" x14ac:dyDescent="0.2">
      <c r="B340"/>
    </row>
    <row r="341" spans="2:2" x14ac:dyDescent="0.2">
      <c r="B341"/>
    </row>
    <row r="342" spans="2:2" x14ac:dyDescent="0.2">
      <c r="B342"/>
    </row>
    <row r="343" spans="2:2" x14ac:dyDescent="0.2">
      <c r="B343"/>
    </row>
    <row r="344" spans="2:2" x14ac:dyDescent="0.2">
      <c r="B344"/>
    </row>
    <row r="345" spans="2:2" x14ac:dyDescent="0.2">
      <c r="B345"/>
    </row>
    <row r="346" spans="2:2" x14ac:dyDescent="0.2">
      <c r="B346"/>
    </row>
    <row r="347" spans="2:2" x14ac:dyDescent="0.2">
      <c r="B347"/>
    </row>
    <row r="348" spans="2:2" x14ac:dyDescent="0.2">
      <c r="B348"/>
    </row>
    <row r="349" spans="2:2" x14ac:dyDescent="0.2">
      <c r="B349"/>
    </row>
    <row r="350" spans="2:2" x14ac:dyDescent="0.2">
      <c r="B350"/>
    </row>
    <row r="351" spans="2:2" x14ac:dyDescent="0.2">
      <c r="B351"/>
    </row>
    <row r="352" spans="2:2" x14ac:dyDescent="0.2">
      <c r="B352"/>
    </row>
    <row r="353" spans="2:2" x14ac:dyDescent="0.2">
      <c r="B353"/>
    </row>
    <row r="354" spans="2:2" x14ac:dyDescent="0.2">
      <c r="B354"/>
    </row>
    <row r="355" spans="2:2" x14ac:dyDescent="0.2">
      <c r="B355"/>
    </row>
    <row r="356" spans="2:2" x14ac:dyDescent="0.2">
      <c r="B356"/>
    </row>
    <row r="357" spans="2:2" x14ac:dyDescent="0.2">
      <c r="B357"/>
    </row>
    <row r="358" spans="2:2" x14ac:dyDescent="0.2">
      <c r="B358"/>
    </row>
    <row r="359" spans="2:2" x14ac:dyDescent="0.2">
      <c r="B359"/>
    </row>
    <row r="360" spans="2:2" x14ac:dyDescent="0.2">
      <c r="B360"/>
    </row>
    <row r="361" spans="2:2" x14ac:dyDescent="0.2">
      <c r="B361"/>
    </row>
    <row r="362" spans="2:2" x14ac:dyDescent="0.2">
      <c r="B362"/>
    </row>
    <row r="363" spans="2:2" x14ac:dyDescent="0.2">
      <c r="B363"/>
    </row>
    <row r="364" spans="2:2" x14ac:dyDescent="0.2">
      <c r="B364"/>
    </row>
    <row r="365" spans="2:2" x14ac:dyDescent="0.2">
      <c r="B365"/>
    </row>
    <row r="366" spans="2:2" x14ac:dyDescent="0.2">
      <c r="B366"/>
    </row>
    <row r="367" spans="2:2" x14ac:dyDescent="0.2">
      <c r="B367"/>
    </row>
    <row r="368" spans="2:2" x14ac:dyDescent="0.2">
      <c r="B368"/>
    </row>
    <row r="369" spans="2:2" x14ac:dyDescent="0.2">
      <c r="B369"/>
    </row>
    <row r="370" spans="2:2" x14ac:dyDescent="0.2">
      <c r="B370"/>
    </row>
    <row r="371" spans="2:2" x14ac:dyDescent="0.2">
      <c r="B371"/>
    </row>
    <row r="372" spans="2:2" x14ac:dyDescent="0.2">
      <c r="B372"/>
    </row>
    <row r="373" spans="2:2" x14ac:dyDescent="0.2">
      <c r="B373"/>
    </row>
    <row r="374" spans="2:2" x14ac:dyDescent="0.2">
      <c r="B374"/>
    </row>
    <row r="375" spans="2:2" x14ac:dyDescent="0.2">
      <c r="B375"/>
    </row>
    <row r="376" spans="2:2" x14ac:dyDescent="0.2">
      <c r="B376"/>
    </row>
    <row r="377" spans="2:2" x14ac:dyDescent="0.2">
      <c r="B377"/>
    </row>
    <row r="378" spans="2:2" x14ac:dyDescent="0.2">
      <c r="B378"/>
    </row>
    <row r="379" spans="2:2" x14ac:dyDescent="0.2">
      <c r="B379"/>
    </row>
    <row r="380" spans="2:2" x14ac:dyDescent="0.2">
      <c r="B380"/>
    </row>
    <row r="381" spans="2:2" x14ac:dyDescent="0.2">
      <c r="B381"/>
    </row>
    <row r="382" spans="2:2" x14ac:dyDescent="0.2">
      <c r="B382"/>
    </row>
    <row r="383" spans="2:2" x14ac:dyDescent="0.2">
      <c r="B383"/>
    </row>
    <row r="384" spans="2:2" x14ac:dyDescent="0.2">
      <c r="B384"/>
    </row>
    <row r="385" spans="2:2" x14ac:dyDescent="0.2">
      <c r="B385"/>
    </row>
    <row r="386" spans="2:2" x14ac:dyDescent="0.2">
      <c r="B386"/>
    </row>
    <row r="387" spans="2:2" x14ac:dyDescent="0.2">
      <c r="B387"/>
    </row>
    <row r="388" spans="2:2" x14ac:dyDescent="0.2">
      <c r="B388"/>
    </row>
    <row r="389" spans="2:2" x14ac:dyDescent="0.2">
      <c r="B389"/>
    </row>
    <row r="390" spans="2:2" x14ac:dyDescent="0.2">
      <c r="B390"/>
    </row>
    <row r="391" spans="2:2" x14ac:dyDescent="0.2">
      <c r="B391"/>
    </row>
    <row r="392" spans="2:2" x14ac:dyDescent="0.2">
      <c r="B392"/>
    </row>
    <row r="393" spans="2:2" x14ac:dyDescent="0.2">
      <c r="B393"/>
    </row>
    <row r="394" spans="2:2" x14ac:dyDescent="0.2">
      <c r="B394"/>
    </row>
    <row r="395" spans="2:2" x14ac:dyDescent="0.2">
      <c r="B395"/>
    </row>
    <row r="396" spans="2:2" x14ac:dyDescent="0.2">
      <c r="B396"/>
    </row>
    <row r="397" spans="2:2" x14ac:dyDescent="0.2">
      <c r="B397"/>
    </row>
    <row r="398" spans="2:2" x14ac:dyDescent="0.2">
      <c r="B398"/>
    </row>
    <row r="399" spans="2:2" x14ac:dyDescent="0.2">
      <c r="B399"/>
    </row>
    <row r="400" spans="2:2" x14ac:dyDescent="0.2">
      <c r="B400"/>
    </row>
    <row r="401" spans="2:2" x14ac:dyDescent="0.2">
      <c r="B401"/>
    </row>
    <row r="402" spans="2:2" x14ac:dyDescent="0.2">
      <c r="B402"/>
    </row>
    <row r="403" spans="2:2" x14ac:dyDescent="0.2">
      <c r="B403"/>
    </row>
    <row r="404" spans="2:2" x14ac:dyDescent="0.2">
      <c r="B404"/>
    </row>
    <row r="405" spans="2:2" x14ac:dyDescent="0.2">
      <c r="B405"/>
    </row>
    <row r="406" spans="2:2" x14ac:dyDescent="0.2">
      <c r="B406"/>
    </row>
    <row r="407" spans="2:2" x14ac:dyDescent="0.2">
      <c r="B407"/>
    </row>
    <row r="408" spans="2:2" x14ac:dyDescent="0.2">
      <c r="B408"/>
    </row>
    <row r="409" spans="2:2" x14ac:dyDescent="0.2">
      <c r="B409"/>
    </row>
    <row r="410" spans="2:2" x14ac:dyDescent="0.2">
      <c r="B410"/>
    </row>
    <row r="411" spans="2:2" x14ac:dyDescent="0.2">
      <c r="B411"/>
    </row>
    <row r="412" spans="2:2" x14ac:dyDescent="0.2">
      <c r="B412"/>
    </row>
    <row r="413" spans="2:2" x14ac:dyDescent="0.2">
      <c r="B413"/>
    </row>
    <row r="414" spans="2:2" x14ac:dyDescent="0.2">
      <c r="B414"/>
    </row>
    <row r="415" spans="2:2" x14ac:dyDescent="0.2">
      <c r="B415"/>
    </row>
    <row r="416" spans="2:2" x14ac:dyDescent="0.2">
      <c r="B416"/>
    </row>
    <row r="417" spans="2:2" x14ac:dyDescent="0.2">
      <c r="B417"/>
    </row>
    <row r="418" spans="2:2" x14ac:dyDescent="0.2">
      <c r="B418"/>
    </row>
    <row r="419" spans="2:2" x14ac:dyDescent="0.2">
      <c r="B419"/>
    </row>
    <row r="420" spans="2:2" x14ac:dyDescent="0.2">
      <c r="B420"/>
    </row>
    <row r="421" spans="2:2" x14ac:dyDescent="0.2">
      <c r="B421"/>
    </row>
    <row r="422" spans="2:2" x14ac:dyDescent="0.2">
      <c r="B422"/>
    </row>
    <row r="423" spans="2:2" x14ac:dyDescent="0.2">
      <c r="B423"/>
    </row>
    <row r="424" spans="2:2" x14ac:dyDescent="0.2">
      <c r="B424"/>
    </row>
    <row r="425" spans="2:2" x14ac:dyDescent="0.2">
      <c r="B425"/>
    </row>
    <row r="426" spans="2:2" x14ac:dyDescent="0.2">
      <c r="B426"/>
    </row>
    <row r="427" spans="2:2" x14ac:dyDescent="0.2">
      <c r="B427"/>
    </row>
    <row r="428" spans="2:2" x14ac:dyDescent="0.2">
      <c r="B428"/>
    </row>
    <row r="429" spans="2:2" x14ac:dyDescent="0.2">
      <c r="B429"/>
    </row>
    <row r="430" spans="2:2" x14ac:dyDescent="0.2">
      <c r="B430"/>
    </row>
    <row r="431" spans="2:2" x14ac:dyDescent="0.2">
      <c r="B431"/>
    </row>
    <row r="432" spans="2:2" x14ac:dyDescent="0.2">
      <c r="B432"/>
    </row>
    <row r="433" spans="2:2" x14ac:dyDescent="0.2">
      <c r="B433"/>
    </row>
    <row r="434" spans="2:2" x14ac:dyDescent="0.2">
      <c r="B434"/>
    </row>
    <row r="435" spans="2:2" x14ac:dyDescent="0.2">
      <c r="B435"/>
    </row>
    <row r="436" spans="2:2" x14ac:dyDescent="0.2">
      <c r="B436"/>
    </row>
    <row r="437" spans="2:2" x14ac:dyDescent="0.2">
      <c r="B437"/>
    </row>
    <row r="438" spans="2:2" x14ac:dyDescent="0.2">
      <c r="B438"/>
    </row>
    <row r="439" spans="2:2" x14ac:dyDescent="0.2">
      <c r="B439"/>
    </row>
    <row r="440" spans="2:2" x14ac:dyDescent="0.2">
      <c r="B440"/>
    </row>
    <row r="441" spans="2:2" x14ac:dyDescent="0.2">
      <c r="B441"/>
    </row>
    <row r="442" spans="2:2" x14ac:dyDescent="0.2">
      <c r="B442"/>
    </row>
    <row r="443" spans="2:2" x14ac:dyDescent="0.2">
      <c r="B443"/>
    </row>
    <row r="444" spans="2:2" x14ac:dyDescent="0.2">
      <c r="B444"/>
    </row>
    <row r="445" spans="2:2" x14ac:dyDescent="0.2">
      <c r="B445"/>
    </row>
    <row r="446" spans="2:2" x14ac:dyDescent="0.2">
      <c r="B446"/>
    </row>
    <row r="447" spans="2:2" x14ac:dyDescent="0.2">
      <c r="B447"/>
    </row>
    <row r="448" spans="2:2" x14ac:dyDescent="0.2">
      <c r="B448"/>
    </row>
    <row r="449" spans="2:2" x14ac:dyDescent="0.2">
      <c r="B449"/>
    </row>
    <row r="450" spans="2:2" x14ac:dyDescent="0.2">
      <c r="B450"/>
    </row>
    <row r="451" spans="2:2" x14ac:dyDescent="0.2">
      <c r="B451"/>
    </row>
    <row r="452" spans="2:2" x14ac:dyDescent="0.2">
      <c r="B452"/>
    </row>
    <row r="453" spans="2:2" x14ac:dyDescent="0.2">
      <c r="B453"/>
    </row>
    <row r="454" spans="2:2" x14ac:dyDescent="0.2">
      <c r="B454"/>
    </row>
    <row r="455" spans="2:2" x14ac:dyDescent="0.2">
      <c r="B455"/>
    </row>
    <row r="456" spans="2:2" x14ac:dyDescent="0.2">
      <c r="B456"/>
    </row>
    <row r="457" spans="2:2" x14ac:dyDescent="0.2">
      <c r="B457"/>
    </row>
    <row r="458" spans="2:2" x14ac:dyDescent="0.2">
      <c r="B458"/>
    </row>
    <row r="459" spans="2:2" x14ac:dyDescent="0.2">
      <c r="B459"/>
    </row>
    <row r="460" spans="2:2" x14ac:dyDescent="0.2">
      <c r="B460"/>
    </row>
    <row r="461" spans="2:2" x14ac:dyDescent="0.2">
      <c r="B461"/>
    </row>
    <row r="462" spans="2:2" x14ac:dyDescent="0.2">
      <c r="B462"/>
    </row>
    <row r="463" spans="2:2" x14ac:dyDescent="0.2">
      <c r="B463"/>
    </row>
    <row r="464" spans="2:2" x14ac:dyDescent="0.2">
      <c r="B464"/>
    </row>
    <row r="465" spans="2:2" x14ac:dyDescent="0.2">
      <c r="B465"/>
    </row>
    <row r="466" spans="2:2" x14ac:dyDescent="0.2">
      <c r="B466"/>
    </row>
    <row r="467" spans="2:2" x14ac:dyDescent="0.2">
      <c r="B467"/>
    </row>
    <row r="468" spans="2:2" x14ac:dyDescent="0.2">
      <c r="B468"/>
    </row>
    <row r="469" spans="2:2" x14ac:dyDescent="0.2">
      <c r="B469"/>
    </row>
    <row r="470" spans="2:2" x14ac:dyDescent="0.2">
      <c r="B470"/>
    </row>
    <row r="471" spans="2:2" x14ac:dyDescent="0.2">
      <c r="B471"/>
    </row>
    <row r="472" spans="2:2" x14ac:dyDescent="0.2">
      <c r="B472"/>
    </row>
    <row r="473" spans="2:2" x14ac:dyDescent="0.2">
      <c r="B473"/>
    </row>
    <row r="474" spans="2:2" x14ac:dyDescent="0.2">
      <c r="B474"/>
    </row>
    <row r="475" spans="2:2" x14ac:dyDescent="0.2">
      <c r="B475"/>
    </row>
    <row r="476" spans="2:2" x14ac:dyDescent="0.2">
      <c r="B476"/>
    </row>
    <row r="477" spans="2:2" x14ac:dyDescent="0.2">
      <c r="B477"/>
    </row>
    <row r="478" spans="2:2" x14ac:dyDescent="0.2">
      <c r="B478"/>
    </row>
    <row r="479" spans="2:2" x14ac:dyDescent="0.2">
      <c r="B479"/>
    </row>
    <row r="480" spans="2:2" x14ac:dyDescent="0.2">
      <c r="B480"/>
    </row>
    <row r="481" spans="2:2" x14ac:dyDescent="0.2">
      <c r="B481"/>
    </row>
    <row r="482" spans="2:2" x14ac:dyDescent="0.2">
      <c r="B482"/>
    </row>
    <row r="483" spans="2:2" x14ac:dyDescent="0.2">
      <c r="B483"/>
    </row>
    <row r="484" spans="2:2" x14ac:dyDescent="0.2">
      <c r="B484"/>
    </row>
    <row r="485" spans="2:2" x14ac:dyDescent="0.2">
      <c r="B485"/>
    </row>
    <row r="486" spans="2:2" x14ac:dyDescent="0.2">
      <c r="B486"/>
    </row>
    <row r="487" spans="2:2" x14ac:dyDescent="0.2">
      <c r="B487"/>
    </row>
    <row r="488" spans="2:2" x14ac:dyDescent="0.2">
      <c r="B488"/>
    </row>
    <row r="489" spans="2:2" x14ac:dyDescent="0.2">
      <c r="B489"/>
    </row>
    <row r="490" spans="2:2" x14ac:dyDescent="0.2">
      <c r="B490"/>
    </row>
    <row r="491" spans="2:2" x14ac:dyDescent="0.2">
      <c r="B491"/>
    </row>
    <row r="492" spans="2:2" x14ac:dyDescent="0.2">
      <c r="B492"/>
    </row>
    <row r="493" spans="2:2" x14ac:dyDescent="0.2">
      <c r="B493"/>
    </row>
    <row r="494" spans="2:2" x14ac:dyDescent="0.2">
      <c r="B494"/>
    </row>
    <row r="495" spans="2:2" x14ac:dyDescent="0.2">
      <c r="B495"/>
    </row>
    <row r="496" spans="2:2" x14ac:dyDescent="0.2">
      <c r="B496"/>
    </row>
    <row r="497" spans="2:2" x14ac:dyDescent="0.2">
      <c r="B497"/>
    </row>
    <row r="498" spans="2:2" x14ac:dyDescent="0.2">
      <c r="B498"/>
    </row>
    <row r="499" spans="2:2" x14ac:dyDescent="0.2">
      <c r="B499"/>
    </row>
    <row r="500" spans="2:2" x14ac:dyDescent="0.2">
      <c r="B500"/>
    </row>
    <row r="501" spans="2:2" x14ac:dyDescent="0.2">
      <c r="B501"/>
    </row>
    <row r="502" spans="2:2" x14ac:dyDescent="0.2">
      <c r="B502"/>
    </row>
    <row r="503" spans="2:2" x14ac:dyDescent="0.2">
      <c r="B503"/>
    </row>
    <row r="504" spans="2:2" x14ac:dyDescent="0.2">
      <c r="B504"/>
    </row>
    <row r="505" spans="2:2" x14ac:dyDescent="0.2">
      <c r="B505"/>
    </row>
    <row r="506" spans="2:2" x14ac:dyDescent="0.2">
      <c r="B506"/>
    </row>
    <row r="507" spans="2:2" x14ac:dyDescent="0.2">
      <c r="B507"/>
    </row>
    <row r="508" spans="2:2" x14ac:dyDescent="0.2">
      <c r="B508"/>
    </row>
    <row r="509" spans="2:2" x14ac:dyDescent="0.2">
      <c r="B509"/>
    </row>
    <row r="510" spans="2:2" x14ac:dyDescent="0.2">
      <c r="B510"/>
    </row>
    <row r="511" spans="2:2" x14ac:dyDescent="0.2">
      <c r="B511"/>
    </row>
    <row r="512" spans="2:2" x14ac:dyDescent="0.2">
      <c r="B512"/>
    </row>
    <row r="513" spans="2:2" x14ac:dyDescent="0.2">
      <c r="B513"/>
    </row>
    <row r="514" spans="2:2" x14ac:dyDescent="0.2">
      <c r="B514"/>
    </row>
    <row r="515" spans="2:2" x14ac:dyDescent="0.2">
      <c r="B515"/>
    </row>
    <row r="516" spans="2:2" x14ac:dyDescent="0.2">
      <c r="B516"/>
    </row>
    <row r="517" spans="2:2" x14ac:dyDescent="0.2">
      <c r="B517"/>
    </row>
    <row r="518" spans="2:2" x14ac:dyDescent="0.2">
      <c r="B518"/>
    </row>
    <row r="519" spans="2:2" x14ac:dyDescent="0.2">
      <c r="B519"/>
    </row>
    <row r="520" spans="2:2" x14ac:dyDescent="0.2">
      <c r="B520"/>
    </row>
    <row r="521" spans="2:2" x14ac:dyDescent="0.2">
      <c r="B521"/>
    </row>
    <row r="522" spans="2:2" x14ac:dyDescent="0.2">
      <c r="B522"/>
    </row>
    <row r="523" spans="2:2" x14ac:dyDescent="0.2">
      <c r="B523"/>
    </row>
    <row r="524" spans="2:2" x14ac:dyDescent="0.2">
      <c r="B524"/>
    </row>
    <row r="525" spans="2:2" x14ac:dyDescent="0.2">
      <c r="B525"/>
    </row>
    <row r="526" spans="2:2" x14ac:dyDescent="0.2">
      <c r="B526"/>
    </row>
    <row r="527" spans="2:2" x14ac:dyDescent="0.2">
      <c r="B527"/>
    </row>
    <row r="528" spans="2:2" x14ac:dyDescent="0.2">
      <c r="B528"/>
    </row>
    <row r="529" spans="2:2" x14ac:dyDescent="0.2">
      <c r="B529"/>
    </row>
    <row r="530" spans="2:2" x14ac:dyDescent="0.2">
      <c r="B530"/>
    </row>
    <row r="531" spans="2:2" x14ac:dyDescent="0.2">
      <c r="B531"/>
    </row>
    <row r="532" spans="2:2" x14ac:dyDescent="0.2">
      <c r="B532"/>
    </row>
    <row r="533" spans="2:2" x14ac:dyDescent="0.2">
      <c r="B533"/>
    </row>
    <row r="534" spans="2:2" x14ac:dyDescent="0.2">
      <c r="B534"/>
    </row>
    <row r="535" spans="2:2" x14ac:dyDescent="0.2">
      <c r="B535"/>
    </row>
    <row r="536" spans="2:2" x14ac:dyDescent="0.2">
      <c r="B536"/>
    </row>
    <row r="537" spans="2:2" x14ac:dyDescent="0.2">
      <c r="B537"/>
    </row>
    <row r="538" spans="2:2" x14ac:dyDescent="0.2">
      <c r="B538"/>
    </row>
    <row r="539" spans="2:2" x14ac:dyDescent="0.2">
      <c r="B539"/>
    </row>
    <row r="540" spans="2:2" x14ac:dyDescent="0.2">
      <c r="B540"/>
    </row>
    <row r="541" spans="2:2" x14ac:dyDescent="0.2">
      <c r="B541"/>
    </row>
    <row r="542" spans="2:2" x14ac:dyDescent="0.2">
      <c r="B542"/>
    </row>
    <row r="543" spans="2:2" x14ac:dyDescent="0.2">
      <c r="B543"/>
    </row>
    <row r="544" spans="2:2" x14ac:dyDescent="0.2">
      <c r="B544"/>
    </row>
    <row r="545" spans="2:2" x14ac:dyDescent="0.2">
      <c r="B545"/>
    </row>
    <row r="546" spans="2:2" x14ac:dyDescent="0.2">
      <c r="B546"/>
    </row>
    <row r="547" spans="2:2" x14ac:dyDescent="0.2">
      <c r="B547"/>
    </row>
    <row r="548" spans="2:2" x14ac:dyDescent="0.2">
      <c r="B548"/>
    </row>
    <row r="549" spans="2:2" x14ac:dyDescent="0.2">
      <c r="B549"/>
    </row>
    <row r="550" spans="2:2" x14ac:dyDescent="0.2">
      <c r="B550"/>
    </row>
    <row r="551" spans="2:2" x14ac:dyDescent="0.2">
      <c r="B551"/>
    </row>
    <row r="552" spans="2:2" x14ac:dyDescent="0.2">
      <c r="B552"/>
    </row>
    <row r="553" spans="2:2" x14ac:dyDescent="0.2">
      <c r="B553"/>
    </row>
    <row r="554" spans="2:2" x14ac:dyDescent="0.2">
      <c r="B554"/>
    </row>
    <row r="555" spans="2:2" x14ac:dyDescent="0.2">
      <c r="B555"/>
    </row>
    <row r="556" spans="2:2" x14ac:dyDescent="0.2">
      <c r="B556"/>
    </row>
    <row r="557" spans="2:2" x14ac:dyDescent="0.2">
      <c r="B557"/>
    </row>
    <row r="558" spans="2:2" x14ac:dyDescent="0.2">
      <c r="B558"/>
    </row>
    <row r="559" spans="2:2" x14ac:dyDescent="0.2">
      <c r="B559"/>
    </row>
    <row r="560" spans="2:2" x14ac:dyDescent="0.2">
      <c r="B560"/>
    </row>
    <row r="561" spans="2:2" x14ac:dyDescent="0.2">
      <c r="B561"/>
    </row>
    <row r="562" spans="2:2" x14ac:dyDescent="0.2">
      <c r="B562"/>
    </row>
    <row r="563" spans="2:2" x14ac:dyDescent="0.2">
      <c r="B563"/>
    </row>
    <row r="564" spans="2:2" x14ac:dyDescent="0.2">
      <c r="B564"/>
    </row>
    <row r="565" spans="2:2" x14ac:dyDescent="0.2">
      <c r="B565"/>
    </row>
    <row r="566" spans="2:2" x14ac:dyDescent="0.2">
      <c r="B566"/>
    </row>
    <row r="567" spans="2:2" x14ac:dyDescent="0.2">
      <c r="B567"/>
    </row>
    <row r="568" spans="2:2" x14ac:dyDescent="0.2">
      <c r="B568"/>
    </row>
    <row r="569" spans="2:2" x14ac:dyDescent="0.2">
      <c r="B569"/>
    </row>
    <row r="570" spans="2:2" x14ac:dyDescent="0.2">
      <c r="B570"/>
    </row>
    <row r="571" spans="2:2" x14ac:dyDescent="0.2">
      <c r="B571"/>
    </row>
    <row r="572" spans="2:2" x14ac:dyDescent="0.2">
      <c r="B572"/>
    </row>
    <row r="573" spans="2:2" x14ac:dyDescent="0.2">
      <c r="B573"/>
    </row>
    <row r="574" spans="2:2" x14ac:dyDescent="0.2">
      <c r="B574"/>
    </row>
    <row r="575" spans="2:2" x14ac:dyDescent="0.2">
      <c r="B575"/>
    </row>
    <row r="576" spans="2:2" x14ac:dyDescent="0.2">
      <c r="B576"/>
    </row>
    <row r="577" spans="2:2" x14ac:dyDescent="0.2">
      <c r="B577"/>
    </row>
    <row r="578" spans="2:2" x14ac:dyDescent="0.2">
      <c r="B578"/>
    </row>
    <row r="579" spans="2:2" x14ac:dyDescent="0.2">
      <c r="B579"/>
    </row>
    <row r="580" spans="2:2" x14ac:dyDescent="0.2">
      <c r="B580"/>
    </row>
    <row r="581" spans="2:2" x14ac:dyDescent="0.2">
      <c r="B581"/>
    </row>
    <row r="582" spans="2:2" x14ac:dyDescent="0.2">
      <c r="B582"/>
    </row>
    <row r="583" spans="2:2" x14ac:dyDescent="0.2">
      <c r="B583"/>
    </row>
    <row r="584" spans="2:2" x14ac:dyDescent="0.2">
      <c r="B584"/>
    </row>
    <row r="585" spans="2:2" x14ac:dyDescent="0.2">
      <c r="B585"/>
    </row>
    <row r="586" spans="2:2" x14ac:dyDescent="0.2">
      <c r="B586"/>
    </row>
    <row r="587" spans="2:2" x14ac:dyDescent="0.2">
      <c r="B587"/>
    </row>
    <row r="588" spans="2:2" x14ac:dyDescent="0.2">
      <c r="B588"/>
    </row>
    <row r="589" spans="2:2" x14ac:dyDescent="0.2">
      <c r="B589"/>
    </row>
    <row r="590" spans="2:2" x14ac:dyDescent="0.2">
      <c r="B590"/>
    </row>
    <row r="591" spans="2:2" x14ac:dyDescent="0.2">
      <c r="B591"/>
    </row>
    <row r="592" spans="2:2" x14ac:dyDescent="0.2">
      <c r="B592"/>
    </row>
    <row r="593" spans="2:2" x14ac:dyDescent="0.2">
      <c r="B593"/>
    </row>
    <row r="594" spans="2:2" x14ac:dyDescent="0.2">
      <c r="B594"/>
    </row>
    <row r="595" spans="2:2" x14ac:dyDescent="0.2">
      <c r="B595"/>
    </row>
    <row r="596" spans="2:2" x14ac:dyDescent="0.2">
      <c r="B596"/>
    </row>
    <row r="597" spans="2:2" x14ac:dyDescent="0.2">
      <c r="B597"/>
    </row>
    <row r="598" spans="2:2" x14ac:dyDescent="0.2">
      <c r="B598"/>
    </row>
    <row r="599" spans="2:2" x14ac:dyDescent="0.2">
      <c r="B599"/>
    </row>
    <row r="600" spans="2:2" x14ac:dyDescent="0.2">
      <c r="B600"/>
    </row>
    <row r="601" spans="2:2" x14ac:dyDescent="0.2">
      <c r="B601"/>
    </row>
    <row r="602" spans="2:2" x14ac:dyDescent="0.2">
      <c r="B602"/>
    </row>
    <row r="603" spans="2:2" x14ac:dyDescent="0.2">
      <c r="B603"/>
    </row>
    <row r="604" spans="2:2" x14ac:dyDescent="0.2">
      <c r="B604"/>
    </row>
    <row r="605" spans="2:2" x14ac:dyDescent="0.2">
      <c r="B605"/>
    </row>
    <row r="606" spans="2:2" x14ac:dyDescent="0.2">
      <c r="B606"/>
    </row>
    <row r="607" spans="2:2" x14ac:dyDescent="0.2">
      <c r="B607"/>
    </row>
    <row r="608" spans="2:2" x14ac:dyDescent="0.2">
      <c r="B608"/>
    </row>
    <row r="609" spans="2:2" x14ac:dyDescent="0.2">
      <c r="B609"/>
    </row>
    <row r="610" spans="2:2" x14ac:dyDescent="0.2">
      <c r="B610"/>
    </row>
    <row r="611" spans="2:2" x14ac:dyDescent="0.2">
      <c r="B611"/>
    </row>
    <row r="612" spans="2:2" x14ac:dyDescent="0.2">
      <c r="B612"/>
    </row>
    <row r="613" spans="2:2" x14ac:dyDescent="0.2">
      <c r="B613"/>
    </row>
    <row r="614" spans="2:2" x14ac:dyDescent="0.2">
      <c r="B614"/>
    </row>
    <row r="615" spans="2:2" x14ac:dyDescent="0.2">
      <c r="B615"/>
    </row>
    <row r="616" spans="2:2" x14ac:dyDescent="0.2">
      <c r="B616"/>
    </row>
    <row r="617" spans="2:2" x14ac:dyDescent="0.2">
      <c r="B617"/>
    </row>
    <row r="618" spans="2:2" x14ac:dyDescent="0.2">
      <c r="B618"/>
    </row>
    <row r="619" spans="2:2" x14ac:dyDescent="0.2">
      <c r="B619"/>
    </row>
    <row r="620" spans="2:2" x14ac:dyDescent="0.2">
      <c r="B620"/>
    </row>
    <row r="621" spans="2:2" x14ac:dyDescent="0.2">
      <c r="B621"/>
    </row>
    <row r="622" spans="2:2" x14ac:dyDescent="0.2">
      <c r="B622"/>
    </row>
    <row r="623" spans="2:2" x14ac:dyDescent="0.2">
      <c r="B623"/>
    </row>
    <row r="624" spans="2:2" x14ac:dyDescent="0.2">
      <c r="B624"/>
    </row>
    <row r="625" spans="2:2" x14ac:dyDescent="0.2">
      <c r="B625"/>
    </row>
    <row r="626" spans="2:2" x14ac:dyDescent="0.2">
      <c r="B626"/>
    </row>
    <row r="627" spans="2:2" x14ac:dyDescent="0.2">
      <c r="B627"/>
    </row>
    <row r="628" spans="2:2" x14ac:dyDescent="0.2">
      <c r="B628"/>
    </row>
    <row r="629" spans="2:2" x14ac:dyDescent="0.2">
      <c r="B629"/>
    </row>
    <row r="630" spans="2:2" x14ac:dyDescent="0.2">
      <c r="B630"/>
    </row>
    <row r="631" spans="2:2" x14ac:dyDescent="0.2">
      <c r="B631"/>
    </row>
    <row r="632" spans="2:2" x14ac:dyDescent="0.2">
      <c r="B632"/>
    </row>
    <row r="633" spans="2:2" x14ac:dyDescent="0.2">
      <c r="B633"/>
    </row>
    <row r="634" spans="2:2" x14ac:dyDescent="0.2">
      <c r="B634"/>
    </row>
    <row r="635" spans="2:2" x14ac:dyDescent="0.2">
      <c r="B635"/>
    </row>
    <row r="636" spans="2:2" x14ac:dyDescent="0.2">
      <c r="B636"/>
    </row>
    <row r="637" spans="2:2" x14ac:dyDescent="0.2">
      <c r="B637"/>
    </row>
    <row r="638" spans="2:2" x14ac:dyDescent="0.2">
      <c r="B638"/>
    </row>
    <row r="639" spans="2:2" x14ac:dyDescent="0.2">
      <c r="B639"/>
    </row>
    <row r="640" spans="2:2" x14ac:dyDescent="0.2">
      <c r="B640"/>
    </row>
    <row r="641" spans="2:2" x14ac:dyDescent="0.2">
      <c r="B641"/>
    </row>
    <row r="642" spans="2:2" x14ac:dyDescent="0.2">
      <c r="B642"/>
    </row>
    <row r="643" spans="2:2" x14ac:dyDescent="0.2">
      <c r="B643"/>
    </row>
    <row r="644" spans="2:2" x14ac:dyDescent="0.2">
      <c r="B644"/>
    </row>
    <row r="645" spans="2:2" x14ac:dyDescent="0.2">
      <c r="B645"/>
    </row>
    <row r="646" spans="2:2" x14ac:dyDescent="0.2">
      <c r="B646"/>
    </row>
    <row r="647" spans="2:2" x14ac:dyDescent="0.2">
      <c r="B647"/>
    </row>
    <row r="648" spans="2:2" x14ac:dyDescent="0.2">
      <c r="B648"/>
    </row>
    <row r="649" spans="2:2" x14ac:dyDescent="0.2">
      <c r="B649"/>
    </row>
    <row r="650" spans="2:2" x14ac:dyDescent="0.2">
      <c r="B650"/>
    </row>
    <row r="651" spans="2:2" x14ac:dyDescent="0.2">
      <c r="B651"/>
    </row>
    <row r="652" spans="2:2" x14ac:dyDescent="0.2">
      <c r="B652"/>
    </row>
    <row r="653" spans="2:2" x14ac:dyDescent="0.2">
      <c r="B653"/>
    </row>
    <row r="654" spans="2:2" x14ac:dyDescent="0.2">
      <c r="B654"/>
    </row>
    <row r="655" spans="2:2" x14ac:dyDescent="0.2">
      <c r="B655"/>
    </row>
    <row r="656" spans="2:2" x14ac:dyDescent="0.2">
      <c r="B656"/>
    </row>
    <row r="657" spans="2:2" x14ac:dyDescent="0.2">
      <c r="B657"/>
    </row>
    <row r="658" spans="2:2" x14ac:dyDescent="0.2">
      <c r="B658"/>
    </row>
    <row r="659" spans="2:2" x14ac:dyDescent="0.2">
      <c r="B659"/>
    </row>
    <row r="660" spans="2:2" x14ac:dyDescent="0.2">
      <c r="B660"/>
    </row>
    <row r="661" spans="2:2" x14ac:dyDescent="0.2">
      <c r="B661"/>
    </row>
    <row r="662" spans="2:2" x14ac:dyDescent="0.2">
      <c r="B662"/>
    </row>
    <row r="663" spans="2:2" x14ac:dyDescent="0.2">
      <c r="B663"/>
    </row>
    <row r="664" spans="2:2" x14ac:dyDescent="0.2">
      <c r="B664"/>
    </row>
    <row r="665" spans="2:2" x14ac:dyDescent="0.2">
      <c r="B665"/>
    </row>
    <row r="666" spans="2:2" x14ac:dyDescent="0.2">
      <c r="B666"/>
    </row>
    <row r="667" spans="2:2" x14ac:dyDescent="0.2">
      <c r="B667"/>
    </row>
    <row r="668" spans="2:2" x14ac:dyDescent="0.2">
      <c r="B668"/>
    </row>
    <row r="669" spans="2:2" x14ac:dyDescent="0.2">
      <c r="B669"/>
    </row>
    <row r="670" spans="2:2" x14ac:dyDescent="0.2">
      <c r="B670"/>
    </row>
    <row r="671" spans="2:2" x14ac:dyDescent="0.2">
      <c r="B671"/>
    </row>
    <row r="672" spans="2:2" x14ac:dyDescent="0.2">
      <c r="B672"/>
    </row>
    <row r="673" spans="2:2" x14ac:dyDescent="0.2">
      <c r="B673"/>
    </row>
    <row r="674" spans="2:2" x14ac:dyDescent="0.2">
      <c r="B674"/>
    </row>
    <row r="675" spans="2:2" x14ac:dyDescent="0.2">
      <c r="B675"/>
    </row>
    <row r="676" spans="2:2" x14ac:dyDescent="0.2">
      <c r="B676"/>
    </row>
    <row r="677" spans="2:2" x14ac:dyDescent="0.2">
      <c r="B677"/>
    </row>
    <row r="678" spans="2:2" x14ac:dyDescent="0.2">
      <c r="B678"/>
    </row>
    <row r="679" spans="2:2" x14ac:dyDescent="0.2">
      <c r="B679"/>
    </row>
    <row r="680" spans="2:2" x14ac:dyDescent="0.2">
      <c r="B680"/>
    </row>
    <row r="681" spans="2:2" x14ac:dyDescent="0.2">
      <c r="B681"/>
    </row>
    <row r="682" spans="2:2" x14ac:dyDescent="0.2">
      <c r="B682"/>
    </row>
    <row r="683" spans="2:2" x14ac:dyDescent="0.2">
      <c r="B683"/>
    </row>
    <row r="684" spans="2:2" x14ac:dyDescent="0.2">
      <c r="B684"/>
    </row>
    <row r="685" spans="2:2" x14ac:dyDescent="0.2">
      <c r="B685"/>
    </row>
    <row r="686" spans="2:2" x14ac:dyDescent="0.2">
      <c r="B686"/>
    </row>
    <row r="687" spans="2:2" x14ac:dyDescent="0.2">
      <c r="B687"/>
    </row>
    <row r="688" spans="2:2" x14ac:dyDescent="0.2">
      <c r="B688"/>
    </row>
    <row r="689" spans="2:2" x14ac:dyDescent="0.2">
      <c r="B689"/>
    </row>
    <row r="690" spans="2:2" x14ac:dyDescent="0.2">
      <c r="B690"/>
    </row>
    <row r="691" spans="2:2" x14ac:dyDescent="0.2">
      <c r="B691"/>
    </row>
    <row r="692" spans="2:2" x14ac:dyDescent="0.2">
      <c r="B692"/>
    </row>
    <row r="693" spans="2:2" x14ac:dyDescent="0.2">
      <c r="B693"/>
    </row>
    <row r="694" spans="2:2" x14ac:dyDescent="0.2">
      <c r="B694"/>
    </row>
    <row r="695" spans="2:2" x14ac:dyDescent="0.2">
      <c r="B695"/>
    </row>
    <row r="696" spans="2:2" x14ac:dyDescent="0.2">
      <c r="B696"/>
    </row>
    <row r="697" spans="2:2" x14ac:dyDescent="0.2">
      <c r="B697"/>
    </row>
    <row r="698" spans="2:2" x14ac:dyDescent="0.2">
      <c r="B698"/>
    </row>
    <row r="699" spans="2:2" x14ac:dyDescent="0.2">
      <c r="B699"/>
    </row>
    <row r="700" spans="2:2" x14ac:dyDescent="0.2">
      <c r="B700"/>
    </row>
    <row r="701" spans="2:2" x14ac:dyDescent="0.2">
      <c r="B701"/>
    </row>
    <row r="702" spans="2:2" x14ac:dyDescent="0.2">
      <c r="B702"/>
    </row>
    <row r="703" spans="2:2" x14ac:dyDescent="0.2">
      <c r="B703"/>
    </row>
    <row r="704" spans="2:2" x14ac:dyDescent="0.2">
      <c r="B704"/>
    </row>
    <row r="705" spans="2:2" x14ac:dyDescent="0.2">
      <c r="B705"/>
    </row>
    <row r="706" spans="2:2" x14ac:dyDescent="0.2">
      <c r="B706"/>
    </row>
    <row r="707" spans="2:2" x14ac:dyDescent="0.2">
      <c r="B707"/>
    </row>
    <row r="708" spans="2:2" x14ac:dyDescent="0.2">
      <c r="B708"/>
    </row>
    <row r="709" spans="2:2" x14ac:dyDescent="0.2">
      <c r="B709"/>
    </row>
    <row r="710" spans="2:2" x14ac:dyDescent="0.2">
      <c r="B710"/>
    </row>
    <row r="711" spans="2:2" x14ac:dyDescent="0.2">
      <c r="B711"/>
    </row>
    <row r="712" spans="2:2" x14ac:dyDescent="0.2">
      <c r="B712"/>
    </row>
    <row r="713" spans="2:2" x14ac:dyDescent="0.2">
      <c r="B713"/>
    </row>
    <row r="714" spans="2:2" x14ac:dyDescent="0.2">
      <c r="B714"/>
    </row>
    <row r="715" spans="2:2" x14ac:dyDescent="0.2">
      <c r="B715"/>
    </row>
    <row r="716" spans="2:2" x14ac:dyDescent="0.2">
      <c r="B716"/>
    </row>
    <row r="717" spans="2:2" x14ac:dyDescent="0.2">
      <c r="B717"/>
    </row>
    <row r="718" spans="2:2" x14ac:dyDescent="0.2">
      <c r="B718"/>
    </row>
    <row r="719" spans="2:2" x14ac:dyDescent="0.2">
      <c r="B719"/>
    </row>
    <row r="720" spans="2:2" x14ac:dyDescent="0.2">
      <c r="B720"/>
    </row>
    <row r="721" spans="2:2" x14ac:dyDescent="0.2">
      <c r="B721"/>
    </row>
    <row r="722" spans="2:2" x14ac:dyDescent="0.2">
      <c r="B722"/>
    </row>
    <row r="723" spans="2:2" x14ac:dyDescent="0.2">
      <c r="B723"/>
    </row>
    <row r="724" spans="2:2" x14ac:dyDescent="0.2">
      <c r="B724"/>
    </row>
    <row r="725" spans="2:2" x14ac:dyDescent="0.2">
      <c r="B725"/>
    </row>
    <row r="726" spans="2:2" x14ac:dyDescent="0.2">
      <c r="B726"/>
    </row>
    <row r="727" spans="2:2" x14ac:dyDescent="0.2">
      <c r="B727"/>
    </row>
    <row r="728" spans="2:2" x14ac:dyDescent="0.2">
      <c r="B728"/>
    </row>
    <row r="729" spans="2:2" x14ac:dyDescent="0.2">
      <c r="B729"/>
    </row>
    <row r="730" spans="2:2" x14ac:dyDescent="0.2">
      <c r="B730"/>
    </row>
    <row r="731" spans="2:2" x14ac:dyDescent="0.2">
      <c r="B731"/>
    </row>
    <row r="732" spans="2:2" x14ac:dyDescent="0.2">
      <c r="B732"/>
    </row>
    <row r="733" spans="2:2" x14ac:dyDescent="0.2">
      <c r="B733"/>
    </row>
    <row r="734" spans="2:2" x14ac:dyDescent="0.2">
      <c r="B734"/>
    </row>
    <row r="735" spans="2:2" x14ac:dyDescent="0.2">
      <c r="B735"/>
    </row>
    <row r="736" spans="2:2" x14ac:dyDescent="0.2">
      <c r="B736"/>
    </row>
    <row r="737" spans="2:2" x14ac:dyDescent="0.2">
      <c r="B737"/>
    </row>
    <row r="738" spans="2:2" x14ac:dyDescent="0.2">
      <c r="B738"/>
    </row>
    <row r="739" spans="2:2" x14ac:dyDescent="0.2">
      <c r="B739"/>
    </row>
    <row r="740" spans="2:2" x14ac:dyDescent="0.2">
      <c r="B740"/>
    </row>
    <row r="741" spans="2:2" x14ac:dyDescent="0.2">
      <c r="B741"/>
    </row>
    <row r="742" spans="2:2" x14ac:dyDescent="0.2">
      <c r="B742"/>
    </row>
    <row r="743" spans="2:2" x14ac:dyDescent="0.2">
      <c r="B743"/>
    </row>
    <row r="744" spans="2:2" x14ac:dyDescent="0.2">
      <c r="B744"/>
    </row>
    <row r="745" spans="2:2" x14ac:dyDescent="0.2">
      <c r="B745"/>
    </row>
    <row r="746" spans="2:2" x14ac:dyDescent="0.2">
      <c r="B746"/>
    </row>
    <row r="747" spans="2:2" x14ac:dyDescent="0.2">
      <c r="B747"/>
    </row>
    <row r="748" spans="2:2" x14ac:dyDescent="0.2">
      <c r="B748"/>
    </row>
    <row r="749" spans="2:2" x14ac:dyDescent="0.2">
      <c r="B749"/>
    </row>
    <row r="750" spans="2:2" x14ac:dyDescent="0.2">
      <c r="B750"/>
    </row>
    <row r="751" spans="2:2" x14ac:dyDescent="0.2">
      <c r="B751"/>
    </row>
    <row r="752" spans="2:2" x14ac:dyDescent="0.2">
      <c r="B752"/>
    </row>
    <row r="753" spans="2:2" x14ac:dyDescent="0.2">
      <c r="B753"/>
    </row>
    <row r="754" spans="2:2" x14ac:dyDescent="0.2">
      <c r="B754"/>
    </row>
    <row r="755" spans="2:2" x14ac:dyDescent="0.2">
      <c r="B755"/>
    </row>
    <row r="756" spans="2:2" x14ac:dyDescent="0.2">
      <c r="B756"/>
    </row>
    <row r="757" spans="2:2" x14ac:dyDescent="0.2">
      <c r="B757"/>
    </row>
    <row r="758" spans="2:2" x14ac:dyDescent="0.2">
      <c r="B758"/>
    </row>
    <row r="759" spans="2:2" x14ac:dyDescent="0.2">
      <c r="B759"/>
    </row>
    <row r="760" spans="2:2" x14ac:dyDescent="0.2">
      <c r="B760"/>
    </row>
    <row r="761" spans="2:2" x14ac:dyDescent="0.2">
      <c r="B761"/>
    </row>
    <row r="762" spans="2:2" x14ac:dyDescent="0.2">
      <c r="B762"/>
    </row>
    <row r="763" spans="2:2" x14ac:dyDescent="0.2">
      <c r="B763"/>
    </row>
    <row r="764" spans="2:2" x14ac:dyDescent="0.2">
      <c r="B764"/>
    </row>
    <row r="765" spans="2:2" x14ac:dyDescent="0.2">
      <c r="B765"/>
    </row>
    <row r="766" spans="2:2" x14ac:dyDescent="0.2">
      <c r="B766"/>
    </row>
    <row r="767" spans="2:2" x14ac:dyDescent="0.2">
      <c r="B767"/>
    </row>
    <row r="768" spans="2:2" x14ac:dyDescent="0.2">
      <c r="B768"/>
    </row>
    <row r="769" spans="2:2" x14ac:dyDescent="0.2">
      <c r="B769"/>
    </row>
    <row r="770" spans="2:2" x14ac:dyDescent="0.2">
      <c r="B770"/>
    </row>
    <row r="771" spans="2:2" x14ac:dyDescent="0.2">
      <c r="B771"/>
    </row>
    <row r="772" spans="2:2" x14ac:dyDescent="0.2">
      <c r="B772"/>
    </row>
    <row r="773" spans="2:2" x14ac:dyDescent="0.2">
      <c r="B773"/>
    </row>
    <row r="774" spans="2:2" x14ac:dyDescent="0.2">
      <c r="B774"/>
    </row>
    <row r="775" spans="2:2" x14ac:dyDescent="0.2">
      <c r="B775"/>
    </row>
    <row r="776" spans="2:2" x14ac:dyDescent="0.2">
      <c r="B776"/>
    </row>
    <row r="777" spans="2:2" x14ac:dyDescent="0.2">
      <c r="B777"/>
    </row>
    <row r="778" spans="2:2" x14ac:dyDescent="0.2">
      <c r="B778"/>
    </row>
    <row r="779" spans="2:2" x14ac:dyDescent="0.2">
      <c r="B779"/>
    </row>
    <row r="780" spans="2:2" x14ac:dyDescent="0.2">
      <c r="B780"/>
    </row>
    <row r="781" spans="2:2" x14ac:dyDescent="0.2">
      <c r="B781"/>
    </row>
    <row r="782" spans="2:2" x14ac:dyDescent="0.2">
      <c r="B782"/>
    </row>
    <row r="783" spans="2:2" x14ac:dyDescent="0.2">
      <c r="B783"/>
    </row>
    <row r="784" spans="2:2" x14ac:dyDescent="0.2">
      <c r="B784"/>
    </row>
    <row r="785" spans="2:2" x14ac:dyDescent="0.2">
      <c r="B785"/>
    </row>
    <row r="786" spans="2:2" x14ac:dyDescent="0.2">
      <c r="B786"/>
    </row>
    <row r="787" spans="2:2" x14ac:dyDescent="0.2">
      <c r="B787"/>
    </row>
    <row r="788" spans="2:2" x14ac:dyDescent="0.2">
      <c r="B788"/>
    </row>
    <row r="789" spans="2:2" x14ac:dyDescent="0.2">
      <c r="B789"/>
    </row>
    <row r="790" spans="2:2" x14ac:dyDescent="0.2">
      <c r="B790"/>
    </row>
    <row r="791" spans="2:2" x14ac:dyDescent="0.2">
      <c r="B791"/>
    </row>
    <row r="792" spans="2:2" x14ac:dyDescent="0.2">
      <c r="B792"/>
    </row>
    <row r="793" spans="2:2" x14ac:dyDescent="0.2">
      <c r="B793"/>
    </row>
    <row r="794" spans="2:2" x14ac:dyDescent="0.2">
      <c r="B794"/>
    </row>
    <row r="795" spans="2:2" x14ac:dyDescent="0.2">
      <c r="B795"/>
    </row>
    <row r="796" spans="2:2" x14ac:dyDescent="0.2">
      <c r="B796"/>
    </row>
    <row r="797" spans="2:2" x14ac:dyDescent="0.2">
      <c r="B797"/>
    </row>
    <row r="798" spans="2:2" x14ac:dyDescent="0.2">
      <c r="B798"/>
    </row>
    <row r="799" spans="2:2" x14ac:dyDescent="0.2">
      <c r="B799"/>
    </row>
    <row r="800" spans="2:2" x14ac:dyDescent="0.2">
      <c r="B800"/>
    </row>
    <row r="801" spans="2:2" x14ac:dyDescent="0.2">
      <c r="B801"/>
    </row>
    <row r="802" spans="2:2" x14ac:dyDescent="0.2">
      <c r="B802"/>
    </row>
    <row r="803" spans="2:2" x14ac:dyDescent="0.2">
      <c r="B803"/>
    </row>
    <row r="804" spans="2:2" x14ac:dyDescent="0.2">
      <c r="B804"/>
    </row>
    <row r="805" spans="2:2" x14ac:dyDescent="0.2">
      <c r="B805"/>
    </row>
    <row r="806" spans="2:2" x14ac:dyDescent="0.2">
      <c r="B806"/>
    </row>
    <row r="807" spans="2:2" x14ac:dyDescent="0.2">
      <c r="B807"/>
    </row>
    <row r="808" spans="2:2" x14ac:dyDescent="0.2">
      <c r="B808"/>
    </row>
    <row r="809" spans="2:2" x14ac:dyDescent="0.2">
      <c r="B809"/>
    </row>
    <row r="810" spans="2:2" x14ac:dyDescent="0.2">
      <c r="B810"/>
    </row>
    <row r="811" spans="2:2" x14ac:dyDescent="0.2">
      <c r="B811"/>
    </row>
    <row r="812" spans="2:2" x14ac:dyDescent="0.2">
      <c r="B812"/>
    </row>
    <row r="813" spans="2:2" x14ac:dyDescent="0.2">
      <c r="B813"/>
    </row>
    <row r="814" spans="2:2" x14ac:dyDescent="0.2">
      <c r="B814"/>
    </row>
    <row r="815" spans="2:2" x14ac:dyDescent="0.2">
      <c r="B815"/>
    </row>
    <row r="816" spans="2:2" x14ac:dyDescent="0.2">
      <c r="B816"/>
    </row>
    <row r="817" spans="2:2" x14ac:dyDescent="0.2">
      <c r="B817"/>
    </row>
    <row r="818" spans="2:2" x14ac:dyDescent="0.2">
      <c r="B818"/>
    </row>
    <row r="819" spans="2:2" x14ac:dyDescent="0.2">
      <c r="B819"/>
    </row>
    <row r="820" spans="2:2" x14ac:dyDescent="0.2">
      <c r="B820"/>
    </row>
    <row r="821" spans="2:2" x14ac:dyDescent="0.2">
      <c r="B821"/>
    </row>
    <row r="822" spans="2:2" x14ac:dyDescent="0.2">
      <c r="B822"/>
    </row>
    <row r="823" spans="2:2" x14ac:dyDescent="0.2">
      <c r="B823"/>
    </row>
    <row r="824" spans="2:2" x14ac:dyDescent="0.2">
      <c r="B824"/>
    </row>
    <row r="825" spans="2:2" x14ac:dyDescent="0.2">
      <c r="B825"/>
    </row>
    <row r="826" spans="2:2" x14ac:dyDescent="0.2">
      <c r="B826"/>
    </row>
    <row r="827" spans="2:2" x14ac:dyDescent="0.2">
      <c r="B827"/>
    </row>
    <row r="828" spans="2:2" x14ac:dyDescent="0.2">
      <c r="B828"/>
    </row>
    <row r="829" spans="2:2" x14ac:dyDescent="0.2">
      <c r="B829"/>
    </row>
    <row r="830" spans="2:2" x14ac:dyDescent="0.2">
      <c r="B830"/>
    </row>
    <row r="831" spans="2:2" x14ac:dyDescent="0.2">
      <c r="B831"/>
    </row>
    <row r="832" spans="2:2" x14ac:dyDescent="0.2">
      <c r="B832"/>
    </row>
    <row r="833" spans="2:2" x14ac:dyDescent="0.2">
      <c r="B833"/>
    </row>
    <row r="834" spans="2:2" x14ac:dyDescent="0.2">
      <c r="B834"/>
    </row>
    <row r="835" spans="2:2" x14ac:dyDescent="0.2">
      <c r="B835"/>
    </row>
    <row r="836" spans="2:2" x14ac:dyDescent="0.2">
      <c r="B836"/>
    </row>
    <row r="837" spans="2:2" x14ac:dyDescent="0.2">
      <c r="B837"/>
    </row>
    <row r="838" spans="2:2" x14ac:dyDescent="0.2">
      <c r="B838"/>
    </row>
    <row r="839" spans="2:2" x14ac:dyDescent="0.2">
      <c r="B839"/>
    </row>
    <row r="840" spans="2:2" x14ac:dyDescent="0.2">
      <c r="B840"/>
    </row>
    <row r="841" spans="2:2" x14ac:dyDescent="0.2">
      <c r="B841"/>
    </row>
    <row r="842" spans="2:2" x14ac:dyDescent="0.2">
      <c r="B842"/>
    </row>
    <row r="843" spans="2:2" x14ac:dyDescent="0.2">
      <c r="B843"/>
    </row>
    <row r="844" spans="2:2" x14ac:dyDescent="0.2">
      <c r="B844"/>
    </row>
    <row r="845" spans="2:2" x14ac:dyDescent="0.2">
      <c r="B845"/>
    </row>
    <row r="846" spans="2:2" x14ac:dyDescent="0.2">
      <c r="B846"/>
    </row>
    <row r="847" spans="2:2" x14ac:dyDescent="0.2">
      <c r="B847"/>
    </row>
    <row r="848" spans="2:2" x14ac:dyDescent="0.2">
      <c r="B848"/>
    </row>
    <row r="849" spans="2:2" x14ac:dyDescent="0.2">
      <c r="B849"/>
    </row>
    <row r="850" spans="2:2" x14ac:dyDescent="0.2">
      <c r="B850"/>
    </row>
    <row r="851" spans="2:2" x14ac:dyDescent="0.2">
      <c r="B851"/>
    </row>
    <row r="852" spans="2:2" x14ac:dyDescent="0.2">
      <c r="B852"/>
    </row>
    <row r="853" spans="2:2" x14ac:dyDescent="0.2">
      <c r="B853"/>
    </row>
    <row r="854" spans="2:2" x14ac:dyDescent="0.2">
      <c r="B854"/>
    </row>
    <row r="855" spans="2:2" x14ac:dyDescent="0.2">
      <c r="B855"/>
    </row>
    <row r="856" spans="2:2" x14ac:dyDescent="0.2">
      <c r="B856"/>
    </row>
    <row r="857" spans="2:2" x14ac:dyDescent="0.2">
      <c r="B857"/>
    </row>
    <row r="858" spans="2:2" x14ac:dyDescent="0.2">
      <c r="B858"/>
    </row>
    <row r="859" spans="2:2" x14ac:dyDescent="0.2">
      <c r="B859"/>
    </row>
    <row r="860" spans="2:2" x14ac:dyDescent="0.2">
      <c r="B860"/>
    </row>
    <row r="861" spans="2:2" x14ac:dyDescent="0.2">
      <c r="B861"/>
    </row>
    <row r="862" spans="2:2" x14ac:dyDescent="0.2">
      <c r="B862"/>
    </row>
    <row r="863" spans="2:2" x14ac:dyDescent="0.2">
      <c r="B863"/>
    </row>
    <row r="864" spans="2:2" x14ac:dyDescent="0.2">
      <c r="B864"/>
    </row>
    <row r="865" spans="2:2" x14ac:dyDescent="0.2">
      <c r="B865"/>
    </row>
    <row r="866" spans="2:2" x14ac:dyDescent="0.2">
      <c r="B866"/>
    </row>
    <row r="867" spans="2:2" x14ac:dyDescent="0.2">
      <c r="B867"/>
    </row>
    <row r="868" spans="2:2" x14ac:dyDescent="0.2">
      <c r="B868"/>
    </row>
    <row r="869" spans="2:2" x14ac:dyDescent="0.2">
      <c r="B869"/>
    </row>
    <row r="870" spans="2:2" x14ac:dyDescent="0.2">
      <c r="B870"/>
    </row>
    <row r="871" spans="2:2" x14ac:dyDescent="0.2">
      <c r="B871"/>
    </row>
    <row r="872" spans="2:2" x14ac:dyDescent="0.2">
      <c r="B872"/>
    </row>
    <row r="873" spans="2:2" x14ac:dyDescent="0.2">
      <c r="B873"/>
    </row>
    <row r="874" spans="2:2" x14ac:dyDescent="0.2">
      <c r="B874"/>
    </row>
    <row r="875" spans="2:2" x14ac:dyDescent="0.2">
      <c r="B875"/>
    </row>
    <row r="876" spans="2:2" x14ac:dyDescent="0.2">
      <c r="B876"/>
    </row>
    <row r="877" spans="2:2" x14ac:dyDescent="0.2">
      <c r="B877"/>
    </row>
    <row r="878" spans="2:2" x14ac:dyDescent="0.2">
      <c r="B878"/>
    </row>
    <row r="879" spans="2:2" x14ac:dyDescent="0.2">
      <c r="B879"/>
    </row>
    <row r="880" spans="2:2" x14ac:dyDescent="0.2">
      <c r="B880"/>
    </row>
    <row r="881" spans="2:2" x14ac:dyDescent="0.2">
      <c r="B881"/>
    </row>
    <row r="882" spans="2:2" x14ac:dyDescent="0.2">
      <c r="B882"/>
    </row>
    <row r="883" spans="2:2" x14ac:dyDescent="0.2">
      <c r="B883"/>
    </row>
    <row r="884" spans="2:2" x14ac:dyDescent="0.2">
      <c r="B884"/>
    </row>
    <row r="885" spans="2:2" x14ac:dyDescent="0.2">
      <c r="B885"/>
    </row>
    <row r="886" spans="2:2" x14ac:dyDescent="0.2">
      <c r="B886"/>
    </row>
    <row r="887" spans="2:2" x14ac:dyDescent="0.2">
      <c r="B887"/>
    </row>
    <row r="888" spans="2:2" x14ac:dyDescent="0.2">
      <c r="B888"/>
    </row>
    <row r="889" spans="2:2" x14ac:dyDescent="0.2">
      <c r="B889"/>
    </row>
    <row r="890" spans="2:2" x14ac:dyDescent="0.2">
      <c r="B890"/>
    </row>
    <row r="891" spans="2:2" x14ac:dyDescent="0.2">
      <c r="B891"/>
    </row>
    <row r="892" spans="2:2" x14ac:dyDescent="0.2">
      <c r="B892"/>
    </row>
    <row r="893" spans="2:2" x14ac:dyDescent="0.2">
      <c r="B893"/>
    </row>
    <row r="894" spans="2:2" x14ac:dyDescent="0.2">
      <c r="B894"/>
    </row>
    <row r="895" spans="2:2" x14ac:dyDescent="0.2">
      <c r="B895"/>
    </row>
    <row r="896" spans="2:2" x14ac:dyDescent="0.2">
      <c r="B896"/>
    </row>
    <row r="897" spans="2:2" x14ac:dyDescent="0.2">
      <c r="B897"/>
    </row>
    <row r="898" spans="2:2" x14ac:dyDescent="0.2">
      <c r="B898"/>
    </row>
    <row r="899" spans="2:2" x14ac:dyDescent="0.2">
      <c r="B899"/>
    </row>
    <row r="900" spans="2:2" x14ac:dyDescent="0.2">
      <c r="B900"/>
    </row>
    <row r="901" spans="2:2" x14ac:dyDescent="0.2">
      <c r="B901"/>
    </row>
    <row r="902" spans="2:2" x14ac:dyDescent="0.2">
      <c r="B902"/>
    </row>
    <row r="903" spans="2:2" x14ac:dyDescent="0.2">
      <c r="B903"/>
    </row>
    <row r="904" spans="2:2" x14ac:dyDescent="0.2">
      <c r="B904"/>
    </row>
    <row r="905" spans="2:2" x14ac:dyDescent="0.2">
      <c r="B905"/>
    </row>
    <row r="906" spans="2:2" x14ac:dyDescent="0.2">
      <c r="B906"/>
    </row>
    <row r="907" spans="2:2" x14ac:dyDescent="0.2">
      <c r="B907"/>
    </row>
    <row r="908" spans="2:2" x14ac:dyDescent="0.2">
      <c r="B908"/>
    </row>
    <row r="909" spans="2:2" x14ac:dyDescent="0.2">
      <c r="B909"/>
    </row>
    <row r="910" spans="2:2" x14ac:dyDescent="0.2">
      <c r="B910"/>
    </row>
    <row r="911" spans="2:2" x14ac:dyDescent="0.2">
      <c r="B911"/>
    </row>
    <row r="912" spans="2:2" x14ac:dyDescent="0.2">
      <c r="B912"/>
    </row>
    <row r="913" spans="2:2" x14ac:dyDescent="0.2">
      <c r="B913"/>
    </row>
    <row r="914" spans="2:2" x14ac:dyDescent="0.2">
      <c r="B914"/>
    </row>
    <row r="915" spans="2:2" x14ac:dyDescent="0.2">
      <c r="B915"/>
    </row>
    <row r="916" spans="2:2" x14ac:dyDescent="0.2">
      <c r="B916"/>
    </row>
    <row r="917" spans="2:2" x14ac:dyDescent="0.2">
      <c r="B917"/>
    </row>
    <row r="918" spans="2:2" x14ac:dyDescent="0.2">
      <c r="B918"/>
    </row>
    <row r="919" spans="2:2" x14ac:dyDescent="0.2">
      <c r="B919"/>
    </row>
    <row r="920" spans="2:2" x14ac:dyDescent="0.2">
      <c r="B920"/>
    </row>
    <row r="921" spans="2:2" x14ac:dyDescent="0.2">
      <c r="B921"/>
    </row>
    <row r="922" spans="2:2" x14ac:dyDescent="0.2">
      <c r="B922"/>
    </row>
    <row r="923" spans="2:2" x14ac:dyDescent="0.2">
      <c r="B923"/>
    </row>
    <row r="924" spans="2:2" x14ac:dyDescent="0.2">
      <c r="B924"/>
    </row>
    <row r="925" spans="2:2" x14ac:dyDescent="0.2">
      <c r="B925"/>
    </row>
    <row r="926" spans="2:2" x14ac:dyDescent="0.2">
      <c r="B926"/>
    </row>
    <row r="927" spans="2:2" x14ac:dyDescent="0.2">
      <c r="B927"/>
    </row>
    <row r="928" spans="2:2" x14ac:dyDescent="0.2">
      <c r="B928"/>
    </row>
    <row r="929" spans="2:2" x14ac:dyDescent="0.2">
      <c r="B929"/>
    </row>
    <row r="930" spans="2:2" x14ac:dyDescent="0.2">
      <c r="B930"/>
    </row>
    <row r="931" spans="2:2" x14ac:dyDescent="0.2">
      <c r="B931"/>
    </row>
    <row r="932" spans="2:2" x14ac:dyDescent="0.2">
      <c r="B932"/>
    </row>
    <row r="933" spans="2:2" x14ac:dyDescent="0.2">
      <c r="B933"/>
    </row>
    <row r="934" spans="2:2" x14ac:dyDescent="0.2">
      <c r="B934"/>
    </row>
    <row r="935" spans="2:2" x14ac:dyDescent="0.2">
      <c r="B935"/>
    </row>
    <row r="936" spans="2:2" x14ac:dyDescent="0.2">
      <c r="B936"/>
    </row>
    <row r="937" spans="2:2" x14ac:dyDescent="0.2">
      <c r="B937"/>
    </row>
    <row r="938" spans="2:2" x14ac:dyDescent="0.2">
      <c r="B938"/>
    </row>
    <row r="939" spans="2:2" x14ac:dyDescent="0.2">
      <c r="B939"/>
    </row>
    <row r="940" spans="2:2" x14ac:dyDescent="0.2">
      <c r="B940"/>
    </row>
    <row r="941" spans="2:2" x14ac:dyDescent="0.2">
      <c r="B941"/>
    </row>
    <row r="942" spans="2:2" x14ac:dyDescent="0.2">
      <c r="B942"/>
    </row>
    <row r="943" spans="2:2" x14ac:dyDescent="0.2">
      <c r="B943"/>
    </row>
    <row r="944" spans="2:2" x14ac:dyDescent="0.2">
      <c r="B944"/>
    </row>
    <row r="945" spans="2:2" x14ac:dyDescent="0.2">
      <c r="B945"/>
    </row>
    <row r="946" spans="2:2" x14ac:dyDescent="0.2">
      <c r="B946"/>
    </row>
    <row r="947" spans="2:2" x14ac:dyDescent="0.2">
      <c r="B947"/>
    </row>
    <row r="948" spans="2:2" x14ac:dyDescent="0.2">
      <c r="B948"/>
    </row>
    <row r="949" spans="2:2" x14ac:dyDescent="0.2">
      <c r="B949"/>
    </row>
    <row r="950" spans="2:2" x14ac:dyDescent="0.2">
      <c r="B950"/>
    </row>
    <row r="951" spans="2:2" x14ac:dyDescent="0.2">
      <c r="B951"/>
    </row>
    <row r="952" spans="2:2" x14ac:dyDescent="0.2">
      <c r="B952"/>
    </row>
    <row r="953" spans="2:2" x14ac:dyDescent="0.2">
      <c r="B953"/>
    </row>
    <row r="954" spans="2:2" x14ac:dyDescent="0.2">
      <c r="B954"/>
    </row>
    <row r="955" spans="2:2" x14ac:dyDescent="0.2">
      <c r="B955"/>
    </row>
    <row r="956" spans="2:2" x14ac:dyDescent="0.2">
      <c r="B956"/>
    </row>
    <row r="957" spans="2:2" x14ac:dyDescent="0.2">
      <c r="B957"/>
    </row>
    <row r="958" spans="2:2" x14ac:dyDescent="0.2">
      <c r="B958"/>
    </row>
    <row r="959" spans="2:2" x14ac:dyDescent="0.2">
      <c r="B959"/>
    </row>
    <row r="960" spans="2:2" x14ac:dyDescent="0.2">
      <c r="B960"/>
    </row>
    <row r="961" spans="2:2" x14ac:dyDescent="0.2">
      <c r="B961"/>
    </row>
    <row r="962" spans="2:2" x14ac:dyDescent="0.2">
      <c r="B962"/>
    </row>
    <row r="963" spans="2:2" x14ac:dyDescent="0.2">
      <c r="B963"/>
    </row>
    <row r="964" spans="2:2" x14ac:dyDescent="0.2">
      <c r="B964"/>
    </row>
    <row r="965" spans="2:2" x14ac:dyDescent="0.2">
      <c r="B965"/>
    </row>
    <row r="966" spans="2:2" x14ac:dyDescent="0.2">
      <c r="B966"/>
    </row>
    <row r="967" spans="2:2" x14ac:dyDescent="0.2">
      <c r="B967"/>
    </row>
    <row r="968" spans="2:2" x14ac:dyDescent="0.2">
      <c r="B968"/>
    </row>
    <row r="969" spans="2:2" x14ac:dyDescent="0.2">
      <c r="B969"/>
    </row>
    <row r="970" spans="2:2" x14ac:dyDescent="0.2">
      <c r="B970"/>
    </row>
    <row r="971" spans="2:2" x14ac:dyDescent="0.2">
      <c r="B971"/>
    </row>
    <row r="972" spans="2:2" x14ac:dyDescent="0.2">
      <c r="B972"/>
    </row>
    <row r="973" spans="2:2" x14ac:dyDescent="0.2">
      <c r="B973"/>
    </row>
    <row r="974" spans="2:2" x14ac:dyDescent="0.2">
      <c r="B974"/>
    </row>
    <row r="975" spans="2:2" x14ac:dyDescent="0.2">
      <c r="B975"/>
    </row>
    <row r="976" spans="2:2" x14ac:dyDescent="0.2">
      <c r="B976"/>
    </row>
    <row r="977" spans="2:2" x14ac:dyDescent="0.2">
      <c r="B977"/>
    </row>
    <row r="978" spans="2:2" x14ac:dyDescent="0.2">
      <c r="B978"/>
    </row>
    <row r="979" spans="2:2" x14ac:dyDescent="0.2">
      <c r="B979"/>
    </row>
    <row r="980" spans="2:2" x14ac:dyDescent="0.2">
      <c r="B980"/>
    </row>
    <row r="981" spans="2:2" x14ac:dyDescent="0.2">
      <c r="B981"/>
    </row>
    <row r="982" spans="2:2" x14ac:dyDescent="0.2">
      <c r="B982"/>
    </row>
    <row r="983" spans="2:2" x14ac:dyDescent="0.2">
      <c r="B983"/>
    </row>
    <row r="984" spans="2:2" x14ac:dyDescent="0.2">
      <c r="B984"/>
    </row>
    <row r="985" spans="2:2" x14ac:dyDescent="0.2">
      <c r="B985"/>
    </row>
    <row r="986" spans="2:2" x14ac:dyDescent="0.2">
      <c r="B986"/>
    </row>
    <row r="987" spans="2:2" x14ac:dyDescent="0.2">
      <c r="B987"/>
    </row>
    <row r="988" spans="2:2" x14ac:dyDescent="0.2">
      <c r="B988"/>
    </row>
    <row r="989" spans="2:2" x14ac:dyDescent="0.2">
      <c r="B989"/>
    </row>
    <row r="990" spans="2:2" x14ac:dyDescent="0.2">
      <c r="B990"/>
    </row>
    <row r="991" spans="2:2" x14ac:dyDescent="0.2">
      <c r="B991"/>
    </row>
    <row r="992" spans="2:2" x14ac:dyDescent="0.2">
      <c r="B992"/>
    </row>
    <row r="993" spans="2:2" x14ac:dyDescent="0.2">
      <c r="B993"/>
    </row>
    <row r="994" spans="2:2" x14ac:dyDescent="0.2">
      <c r="B994"/>
    </row>
    <row r="995" spans="2:2" x14ac:dyDescent="0.2">
      <c r="B995"/>
    </row>
    <row r="996" spans="2:2" x14ac:dyDescent="0.2">
      <c r="B996"/>
    </row>
    <row r="997" spans="2:2" x14ac:dyDescent="0.2">
      <c r="B997"/>
    </row>
    <row r="998" spans="2:2" x14ac:dyDescent="0.2">
      <c r="B998"/>
    </row>
    <row r="999" spans="2:2" x14ac:dyDescent="0.2">
      <c r="B999"/>
    </row>
    <row r="1000" spans="2:2" x14ac:dyDescent="0.2">
      <c r="B1000"/>
    </row>
    <row r="1001" spans="2:2" x14ac:dyDescent="0.2">
      <c r="B1001"/>
    </row>
    <row r="1002" spans="2:2" x14ac:dyDescent="0.2">
      <c r="B1002"/>
    </row>
    <row r="1003" spans="2:2" x14ac:dyDescent="0.2">
      <c r="B1003"/>
    </row>
    <row r="1004" spans="2:2" x14ac:dyDescent="0.2">
      <c r="B1004"/>
    </row>
    <row r="1005" spans="2:2" x14ac:dyDescent="0.2">
      <c r="B1005"/>
    </row>
    <row r="1006" spans="2:2" x14ac:dyDescent="0.2">
      <c r="B1006"/>
    </row>
    <row r="1007" spans="2:2" x14ac:dyDescent="0.2">
      <c r="B1007"/>
    </row>
    <row r="1008" spans="2:2" x14ac:dyDescent="0.2">
      <c r="B1008"/>
    </row>
    <row r="1009" spans="2:2" x14ac:dyDescent="0.2">
      <c r="B1009"/>
    </row>
    <row r="1010" spans="2:2" x14ac:dyDescent="0.2">
      <c r="B1010"/>
    </row>
    <row r="1011" spans="2:2" x14ac:dyDescent="0.2">
      <c r="B1011"/>
    </row>
    <row r="1012" spans="2:2" x14ac:dyDescent="0.2">
      <c r="B1012"/>
    </row>
    <row r="1013" spans="2:2" x14ac:dyDescent="0.2">
      <c r="B1013"/>
    </row>
    <row r="1014" spans="2:2" x14ac:dyDescent="0.2">
      <c r="B1014"/>
    </row>
    <row r="1015" spans="2:2" x14ac:dyDescent="0.2">
      <c r="B1015"/>
    </row>
    <row r="1016" spans="2:2" x14ac:dyDescent="0.2">
      <c r="B1016"/>
    </row>
    <row r="1017" spans="2:2" x14ac:dyDescent="0.2">
      <c r="B1017"/>
    </row>
    <row r="1018" spans="2:2" x14ac:dyDescent="0.2">
      <c r="B1018"/>
    </row>
    <row r="1019" spans="2:2" x14ac:dyDescent="0.2">
      <c r="B1019"/>
    </row>
    <row r="1020" spans="2:2" x14ac:dyDescent="0.2">
      <c r="B1020"/>
    </row>
    <row r="1021" spans="2:2" x14ac:dyDescent="0.2">
      <c r="B1021"/>
    </row>
    <row r="1022" spans="2:2" x14ac:dyDescent="0.2">
      <c r="B1022"/>
    </row>
    <row r="1023" spans="2:2" x14ac:dyDescent="0.2">
      <c r="B1023"/>
    </row>
    <row r="1024" spans="2:2" x14ac:dyDescent="0.2">
      <c r="B1024"/>
    </row>
    <row r="1025" spans="2:2" x14ac:dyDescent="0.2">
      <c r="B1025"/>
    </row>
    <row r="1026" spans="2:2" x14ac:dyDescent="0.2">
      <c r="B1026"/>
    </row>
    <row r="1027" spans="2:2" x14ac:dyDescent="0.2">
      <c r="B1027"/>
    </row>
    <row r="1028" spans="2:2" x14ac:dyDescent="0.2">
      <c r="B1028"/>
    </row>
    <row r="1029" spans="2:2" x14ac:dyDescent="0.2">
      <c r="B1029"/>
    </row>
    <row r="1030" spans="2:2" x14ac:dyDescent="0.2">
      <c r="B1030"/>
    </row>
    <row r="1031" spans="2:2" x14ac:dyDescent="0.2">
      <c r="B1031"/>
    </row>
    <row r="1032" spans="2:2" x14ac:dyDescent="0.2">
      <c r="B1032"/>
    </row>
    <row r="1033" spans="2:2" x14ac:dyDescent="0.2">
      <c r="B1033"/>
    </row>
    <row r="1034" spans="2:2" x14ac:dyDescent="0.2">
      <c r="B1034"/>
    </row>
    <row r="1035" spans="2:2" x14ac:dyDescent="0.2">
      <c r="B1035"/>
    </row>
    <row r="1036" spans="2:2" x14ac:dyDescent="0.2">
      <c r="B1036"/>
    </row>
    <row r="1037" spans="2:2" x14ac:dyDescent="0.2">
      <c r="B1037"/>
    </row>
    <row r="1038" spans="2:2" x14ac:dyDescent="0.2">
      <c r="B1038"/>
    </row>
    <row r="1039" spans="2:2" x14ac:dyDescent="0.2">
      <c r="B1039"/>
    </row>
    <row r="1040" spans="2:2" x14ac:dyDescent="0.2">
      <c r="B1040"/>
    </row>
    <row r="1041" spans="2:2" x14ac:dyDescent="0.2">
      <c r="B1041"/>
    </row>
    <row r="1042" spans="2:2" x14ac:dyDescent="0.2">
      <c r="B1042"/>
    </row>
    <row r="1043" spans="2:2" x14ac:dyDescent="0.2">
      <c r="B1043"/>
    </row>
    <row r="1044" spans="2:2" x14ac:dyDescent="0.2">
      <c r="B1044"/>
    </row>
    <row r="1045" spans="2:2" x14ac:dyDescent="0.2">
      <c r="B1045"/>
    </row>
    <row r="1046" spans="2:2" x14ac:dyDescent="0.2">
      <c r="B1046"/>
    </row>
    <row r="1047" spans="2:2" x14ac:dyDescent="0.2">
      <c r="B1047"/>
    </row>
    <row r="1048" spans="2:2" x14ac:dyDescent="0.2">
      <c r="B1048"/>
    </row>
    <row r="1049" spans="2:2" x14ac:dyDescent="0.2">
      <c r="B1049"/>
    </row>
    <row r="1050" spans="2:2" x14ac:dyDescent="0.2">
      <c r="B1050"/>
    </row>
    <row r="1051" spans="2:2" x14ac:dyDescent="0.2">
      <c r="B1051"/>
    </row>
    <row r="1052" spans="2:2" x14ac:dyDescent="0.2">
      <c r="B1052"/>
    </row>
    <row r="1053" spans="2:2" x14ac:dyDescent="0.2">
      <c r="B1053"/>
    </row>
    <row r="1054" spans="2:2" x14ac:dyDescent="0.2">
      <c r="B1054"/>
    </row>
    <row r="1055" spans="2:2" x14ac:dyDescent="0.2">
      <c r="B1055"/>
    </row>
    <row r="1056" spans="2:2" x14ac:dyDescent="0.2">
      <c r="B1056"/>
    </row>
    <row r="1057" spans="2:2" x14ac:dyDescent="0.2">
      <c r="B1057"/>
    </row>
    <row r="1058" spans="2:2" x14ac:dyDescent="0.2">
      <c r="B1058"/>
    </row>
    <row r="1059" spans="2:2" x14ac:dyDescent="0.2">
      <c r="B1059"/>
    </row>
    <row r="1060" spans="2:2" x14ac:dyDescent="0.2">
      <c r="B1060"/>
    </row>
    <row r="1061" spans="2:2" x14ac:dyDescent="0.2">
      <c r="B1061"/>
    </row>
    <row r="1062" spans="2:2" x14ac:dyDescent="0.2">
      <c r="B1062"/>
    </row>
    <row r="1063" spans="2:2" x14ac:dyDescent="0.2">
      <c r="B1063"/>
    </row>
    <row r="1064" spans="2:2" x14ac:dyDescent="0.2">
      <c r="B1064"/>
    </row>
    <row r="1065" spans="2:2" x14ac:dyDescent="0.2">
      <c r="B1065"/>
    </row>
    <row r="1066" spans="2:2" x14ac:dyDescent="0.2">
      <c r="B1066"/>
    </row>
    <row r="1067" spans="2:2" x14ac:dyDescent="0.2">
      <c r="B1067"/>
    </row>
    <row r="1068" spans="2:2" x14ac:dyDescent="0.2">
      <c r="B1068"/>
    </row>
    <row r="1069" spans="2:2" x14ac:dyDescent="0.2">
      <c r="B1069"/>
    </row>
    <row r="1070" spans="2:2" x14ac:dyDescent="0.2">
      <c r="B1070"/>
    </row>
    <row r="1071" spans="2:2" x14ac:dyDescent="0.2">
      <c r="B1071"/>
    </row>
    <row r="1072" spans="2:2" x14ac:dyDescent="0.2">
      <c r="B1072"/>
    </row>
    <row r="1073" spans="2:2" x14ac:dyDescent="0.2">
      <c r="B1073"/>
    </row>
    <row r="1074" spans="2:2" x14ac:dyDescent="0.2">
      <c r="B1074"/>
    </row>
    <row r="1075" spans="2:2" x14ac:dyDescent="0.2">
      <c r="B1075"/>
    </row>
    <row r="1076" spans="2:2" x14ac:dyDescent="0.2">
      <c r="B1076"/>
    </row>
    <row r="1077" spans="2:2" x14ac:dyDescent="0.2">
      <c r="B1077"/>
    </row>
    <row r="1078" spans="2:2" x14ac:dyDescent="0.2">
      <c r="B1078"/>
    </row>
    <row r="1079" spans="2:2" x14ac:dyDescent="0.2">
      <c r="B1079"/>
    </row>
    <row r="1080" spans="2:2" x14ac:dyDescent="0.2">
      <c r="B1080"/>
    </row>
    <row r="1081" spans="2:2" x14ac:dyDescent="0.2">
      <c r="B1081"/>
    </row>
    <row r="1082" spans="2:2" x14ac:dyDescent="0.2">
      <c r="B1082"/>
    </row>
    <row r="1083" spans="2:2" x14ac:dyDescent="0.2">
      <c r="B1083"/>
    </row>
    <row r="1084" spans="2:2" x14ac:dyDescent="0.2">
      <c r="B1084"/>
    </row>
    <row r="1085" spans="2:2" x14ac:dyDescent="0.2">
      <c r="B1085"/>
    </row>
    <row r="1086" spans="2:2" x14ac:dyDescent="0.2">
      <c r="B1086"/>
    </row>
    <row r="1087" spans="2:2" x14ac:dyDescent="0.2">
      <c r="B1087"/>
    </row>
    <row r="1088" spans="2:2" x14ac:dyDescent="0.2">
      <c r="B1088"/>
    </row>
    <row r="1089" spans="2:2" x14ac:dyDescent="0.2">
      <c r="B1089"/>
    </row>
    <row r="1090" spans="2:2" x14ac:dyDescent="0.2">
      <c r="B1090"/>
    </row>
    <row r="1091" spans="2:2" x14ac:dyDescent="0.2">
      <c r="B1091"/>
    </row>
    <row r="1092" spans="2:2" x14ac:dyDescent="0.2">
      <c r="B1092"/>
    </row>
    <row r="1093" spans="2:2" x14ac:dyDescent="0.2">
      <c r="B1093"/>
    </row>
    <row r="1094" spans="2:2" x14ac:dyDescent="0.2">
      <c r="B1094"/>
    </row>
    <row r="1095" spans="2:2" x14ac:dyDescent="0.2">
      <c r="B1095"/>
    </row>
    <row r="1096" spans="2:2" x14ac:dyDescent="0.2">
      <c r="B1096"/>
    </row>
    <row r="1097" spans="2:2" x14ac:dyDescent="0.2">
      <c r="B1097"/>
    </row>
    <row r="1098" spans="2:2" x14ac:dyDescent="0.2">
      <c r="B1098"/>
    </row>
    <row r="1099" spans="2:2" x14ac:dyDescent="0.2">
      <c r="B1099"/>
    </row>
    <row r="1100" spans="2:2" x14ac:dyDescent="0.2">
      <c r="B1100"/>
    </row>
    <row r="1101" spans="2:2" x14ac:dyDescent="0.2">
      <c r="B1101"/>
    </row>
    <row r="1102" spans="2:2" x14ac:dyDescent="0.2">
      <c r="B1102"/>
    </row>
    <row r="1103" spans="2:2" x14ac:dyDescent="0.2">
      <c r="B1103"/>
    </row>
    <row r="1104" spans="2:2" x14ac:dyDescent="0.2">
      <c r="B1104"/>
    </row>
    <row r="1105" spans="2:2" x14ac:dyDescent="0.2">
      <c r="B1105"/>
    </row>
    <row r="1106" spans="2:2" x14ac:dyDescent="0.2">
      <c r="B1106"/>
    </row>
    <row r="1107" spans="2:2" x14ac:dyDescent="0.2">
      <c r="B1107"/>
    </row>
    <row r="1108" spans="2:2" x14ac:dyDescent="0.2">
      <c r="B1108"/>
    </row>
    <row r="1109" spans="2:2" x14ac:dyDescent="0.2">
      <c r="B1109"/>
    </row>
    <row r="1110" spans="2:2" x14ac:dyDescent="0.2">
      <c r="B1110"/>
    </row>
    <row r="1111" spans="2:2" x14ac:dyDescent="0.2">
      <c r="B1111"/>
    </row>
    <row r="1112" spans="2:2" x14ac:dyDescent="0.2">
      <c r="B1112"/>
    </row>
    <row r="1113" spans="2:2" x14ac:dyDescent="0.2">
      <c r="B1113"/>
    </row>
    <row r="1114" spans="2:2" x14ac:dyDescent="0.2">
      <c r="B1114"/>
    </row>
    <row r="1115" spans="2:2" x14ac:dyDescent="0.2">
      <c r="B1115"/>
    </row>
    <row r="1116" spans="2:2" x14ac:dyDescent="0.2">
      <c r="B1116"/>
    </row>
    <row r="1117" spans="2:2" x14ac:dyDescent="0.2">
      <c r="B1117"/>
    </row>
    <row r="1118" spans="2:2" x14ac:dyDescent="0.2">
      <c r="B1118"/>
    </row>
    <row r="1119" spans="2:2" x14ac:dyDescent="0.2">
      <c r="B1119"/>
    </row>
    <row r="1120" spans="2:2" x14ac:dyDescent="0.2">
      <c r="B1120"/>
    </row>
    <row r="1121" spans="2:2" x14ac:dyDescent="0.2">
      <c r="B1121"/>
    </row>
    <row r="1122" spans="2:2" x14ac:dyDescent="0.2">
      <c r="B1122"/>
    </row>
    <row r="1123" spans="2:2" x14ac:dyDescent="0.2">
      <c r="B1123"/>
    </row>
    <row r="1124" spans="2:2" x14ac:dyDescent="0.2">
      <c r="B1124"/>
    </row>
    <row r="1125" spans="2:2" x14ac:dyDescent="0.2">
      <c r="B1125"/>
    </row>
    <row r="1126" spans="2:2" x14ac:dyDescent="0.2">
      <c r="B1126"/>
    </row>
    <row r="1127" spans="2:2" x14ac:dyDescent="0.2">
      <c r="B1127"/>
    </row>
    <row r="1128" spans="2:2" x14ac:dyDescent="0.2">
      <c r="B1128"/>
    </row>
    <row r="1129" spans="2:2" x14ac:dyDescent="0.2">
      <c r="B1129"/>
    </row>
    <row r="1130" spans="2:2" x14ac:dyDescent="0.2">
      <c r="B1130"/>
    </row>
    <row r="1131" spans="2:2" x14ac:dyDescent="0.2">
      <c r="B1131"/>
    </row>
    <row r="1132" spans="2:2" x14ac:dyDescent="0.2">
      <c r="B1132"/>
    </row>
    <row r="1133" spans="2:2" x14ac:dyDescent="0.2">
      <c r="B1133"/>
    </row>
    <row r="1134" spans="2:2" x14ac:dyDescent="0.2">
      <c r="B1134"/>
    </row>
    <row r="1135" spans="2:2" x14ac:dyDescent="0.2">
      <c r="B1135"/>
    </row>
    <row r="1136" spans="2:2" x14ac:dyDescent="0.2">
      <c r="B1136"/>
    </row>
    <row r="1137" spans="2:2" x14ac:dyDescent="0.2">
      <c r="B1137"/>
    </row>
    <row r="1138" spans="2:2" x14ac:dyDescent="0.2">
      <c r="B1138"/>
    </row>
    <row r="1139" spans="2:2" x14ac:dyDescent="0.2">
      <c r="B1139"/>
    </row>
    <row r="1140" spans="2:2" x14ac:dyDescent="0.2">
      <c r="B1140"/>
    </row>
    <row r="1141" spans="2:2" x14ac:dyDescent="0.2">
      <c r="B1141"/>
    </row>
    <row r="1142" spans="2:2" x14ac:dyDescent="0.2">
      <c r="B1142"/>
    </row>
    <row r="1143" spans="2:2" x14ac:dyDescent="0.2">
      <c r="B1143"/>
    </row>
    <row r="1144" spans="2:2" x14ac:dyDescent="0.2">
      <c r="B1144"/>
    </row>
    <row r="1145" spans="2:2" x14ac:dyDescent="0.2">
      <c r="B1145"/>
    </row>
    <row r="1146" spans="2:2" x14ac:dyDescent="0.2">
      <c r="B1146"/>
    </row>
    <row r="1147" spans="2:2" x14ac:dyDescent="0.2">
      <c r="B1147"/>
    </row>
    <row r="1148" spans="2:2" x14ac:dyDescent="0.2">
      <c r="B1148"/>
    </row>
    <row r="1149" spans="2:2" x14ac:dyDescent="0.2">
      <c r="B1149"/>
    </row>
    <row r="1150" spans="2:2" x14ac:dyDescent="0.2">
      <c r="B1150"/>
    </row>
    <row r="1151" spans="2:2" x14ac:dyDescent="0.2">
      <c r="B1151"/>
    </row>
    <row r="1152" spans="2:2" x14ac:dyDescent="0.2">
      <c r="B1152"/>
    </row>
    <row r="1153" spans="2:2" x14ac:dyDescent="0.2">
      <c r="B1153"/>
    </row>
    <row r="1154" spans="2:2" x14ac:dyDescent="0.2">
      <c r="B1154"/>
    </row>
    <row r="1155" spans="2:2" x14ac:dyDescent="0.2">
      <c r="B1155"/>
    </row>
    <row r="1156" spans="2:2" x14ac:dyDescent="0.2">
      <c r="B1156"/>
    </row>
    <row r="1157" spans="2:2" x14ac:dyDescent="0.2">
      <c r="B1157"/>
    </row>
    <row r="1158" spans="2:2" x14ac:dyDescent="0.2">
      <c r="B1158"/>
    </row>
    <row r="1159" spans="2:2" x14ac:dyDescent="0.2">
      <c r="B1159"/>
    </row>
    <row r="1160" spans="2:2" x14ac:dyDescent="0.2">
      <c r="B1160"/>
    </row>
    <row r="1161" spans="2:2" x14ac:dyDescent="0.2">
      <c r="B1161"/>
    </row>
    <row r="1162" spans="2:2" x14ac:dyDescent="0.2">
      <c r="B1162"/>
    </row>
    <row r="1163" spans="2:2" x14ac:dyDescent="0.2">
      <c r="B1163"/>
    </row>
    <row r="1164" spans="2:2" x14ac:dyDescent="0.2">
      <c r="B1164"/>
    </row>
    <row r="1165" spans="2:2" x14ac:dyDescent="0.2">
      <c r="B1165"/>
    </row>
    <row r="1166" spans="2:2" x14ac:dyDescent="0.2">
      <c r="B1166"/>
    </row>
    <row r="1167" spans="2:2" x14ac:dyDescent="0.2">
      <c r="B1167"/>
    </row>
    <row r="1168" spans="2:2" x14ac:dyDescent="0.2">
      <c r="B1168"/>
    </row>
    <row r="1169" spans="2:2" x14ac:dyDescent="0.2">
      <c r="B1169"/>
    </row>
    <row r="1170" spans="2:2" x14ac:dyDescent="0.2">
      <c r="B1170"/>
    </row>
    <row r="1171" spans="2:2" x14ac:dyDescent="0.2">
      <c r="B1171"/>
    </row>
    <row r="1172" spans="2:2" x14ac:dyDescent="0.2">
      <c r="B1172"/>
    </row>
    <row r="1173" spans="2:2" x14ac:dyDescent="0.2">
      <c r="B1173"/>
    </row>
    <row r="1174" spans="2:2" x14ac:dyDescent="0.2">
      <c r="B1174"/>
    </row>
    <row r="1175" spans="2:2" x14ac:dyDescent="0.2">
      <c r="B1175"/>
    </row>
    <row r="1176" spans="2:2" x14ac:dyDescent="0.2">
      <c r="B1176"/>
    </row>
    <row r="1177" spans="2:2" x14ac:dyDescent="0.2">
      <c r="B1177"/>
    </row>
    <row r="1178" spans="2:2" x14ac:dyDescent="0.2">
      <c r="B1178"/>
    </row>
    <row r="1179" spans="2:2" x14ac:dyDescent="0.2">
      <c r="B1179"/>
    </row>
    <row r="1180" spans="2:2" x14ac:dyDescent="0.2">
      <c r="B1180"/>
    </row>
    <row r="1181" spans="2:2" x14ac:dyDescent="0.2">
      <c r="B1181"/>
    </row>
    <row r="1182" spans="2:2" x14ac:dyDescent="0.2">
      <c r="B1182"/>
    </row>
    <row r="1183" spans="2:2" x14ac:dyDescent="0.2">
      <c r="B1183"/>
    </row>
    <row r="1184" spans="2:2" x14ac:dyDescent="0.2">
      <c r="B1184"/>
    </row>
    <row r="1185" spans="2:2" x14ac:dyDescent="0.2">
      <c r="B1185"/>
    </row>
    <row r="1186" spans="2:2" x14ac:dyDescent="0.2">
      <c r="B1186"/>
    </row>
    <row r="1187" spans="2:2" x14ac:dyDescent="0.2">
      <c r="B1187"/>
    </row>
    <row r="1188" spans="2:2" x14ac:dyDescent="0.2">
      <c r="B1188"/>
    </row>
    <row r="1189" spans="2:2" x14ac:dyDescent="0.2">
      <c r="B1189"/>
    </row>
    <row r="1190" spans="2:2" x14ac:dyDescent="0.2">
      <c r="B1190"/>
    </row>
    <row r="1191" spans="2:2" x14ac:dyDescent="0.2">
      <c r="B1191"/>
    </row>
    <row r="1192" spans="2:2" x14ac:dyDescent="0.2">
      <c r="B1192"/>
    </row>
    <row r="1193" spans="2:2" x14ac:dyDescent="0.2">
      <c r="B1193"/>
    </row>
    <row r="1194" spans="2:2" x14ac:dyDescent="0.2">
      <c r="B1194"/>
    </row>
    <row r="1195" spans="2:2" x14ac:dyDescent="0.2">
      <c r="B1195"/>
    </row>
    <row r="1196" spans="2:2" x14ac:dyDescent="0.2">
      <c r="B1196"/>
    </row>
    <row r="1197" spans="2:2" x14ac:dyDescent="0.2">
      <c r="B1197"/>
    </row>
    <row r="1198" spans="2:2" x14ac:dyDescent="0.2">
      <c r="B1198"/>
    </row>
    <row r="1199" spans="2:2" x14ac:dyDescent="0.2">
      <c r="B1199"/>
    </row>
    <row r="1200" spans="2:2" x14ac:dyDescent="0.2">
      <c r="B1200"/>
    </row>
    <row r="1201" spans="2:2" x14ac:dyDescent="0.2">
      <c r="B1201"/>
    </row>
    <row r="1202" spans="2:2" x14ac:dyDescent="0.2">
      <c r="B1202"/>
    </row>
    <row r="1203" spans="2:2" x14ac:dyDescent="0.2">
      <c r="B1203"/>
    </row>
    <row r="1204" spans="2:2" x14ac:dyDescent="0.2">
      <c r="B1204"/>
    </row>
    <row r="1205" spans="2:2" x14ac:dyDescent="0.2">
      <c r="B1205"/>
    </row>
    <row r="1206" spans="2:2" x14ac:dyDescent="0.2">
      <c r="B1206"/>
    </row>
    <row r="1207" spans="2:2" x14ac:dyDescent="0.2">
      <c r="B1207"/>
    </row>
    <row r="1208" spans="2:2" x14ac:dyDescent="0.2">
      <c r="B1208"/>
    </row>
    <row r="1209" spans="2:2" x14ac:dyDescent="0.2">
      <c r="B1209"/>
    </row>
    <row r="1210" spans="2:2" x14ac:dyDescent="0.2">
      <c r="B1210"/>
    </row>
    <row r="1211" spans="2:2" x14ac:dyDescent="0.2">
      <c r="B1211"/>
    </row>
    <row r="1212" spans="2:2" x14ac:dyDescent="0.2">
      <c r="B1212"/>
    </row>
    <row r="1213" spans="2:2" x14ac:dyDescent="0.2">
      <c r="B1213"/>
    </row>
    <row r="1214" spans="2:2" x14ac:dyDescent="0.2">
      <c r="B1214"/>
    </row>
    <row r="1215" spans="2:2" x14ac:dyDescent="0.2">
      <c r="B1215"/>
    </row>
    <row r="1216" spans="2:2" x14ac:dyDescent="0.2">
      <c r="B1216"/>
    </row>
    <row r="1217" spans="2:2" x14ac:dyDescent="0.2">
      <c r="B1217"/>
    </row>
    <row r="1218" spans="2:2" x14ac:dyDescent="0.2">
      <c r="B1218"/>
    </row>
    <row r="1219" spans="2:2" x14ac:dyDescent="0.2">
      <c r="B1219"/>
    </row>
    <row r="1220" spans="2:2" x14ac:dyDescent="0.2">
      <c r="B1220"/>
    </row>
    <row r="1221" spans="2:2" x14ac:dyDescent="0.2">
      <c r="B1221"/>
    </row>
    <row r="1222" spans="2:2" x14ac:dyDescent="0.2">
      <c r="B1222"/>
    </row>
    <row r="1223" spans="2:2" x14ac:dyDescent="0.2">
      <c r="B1223"/>
    </row>
    <row r="1224" spans="2:2" x14ac:dyDescent="0.2">
      <c r="B1224"/>
    </row>
    <row r="1225" spans="2:2" x14ac:dyDescent="0.2">
      <c r="B1225"/>
    </row>
    <row r="1226" spans="2:2" x14ac:dyDescent="0.2">
      <c r="B1226"/>
    </row>
    <row r="1227" spans="2:2" x14ac:dyDescent="0.2">
      <c r="B1227"/>
    </row>
    <row r="1228" spans="2:2" x14ac:dyDescent="0.2">
      <c r="B1228"/>
    </row>
    <row r="1229" spans="2:2" x14ac:dyDescent="0.2">
      <c r="B1229"/>
    </row>
    <row r="1230" spans="2:2" x14ac:dyDescent="0.2">
      <c r="B1230"/>
    </row>
    <row r="1231" spans="2:2" x14ac:dyDescent="0.2">
      <c r="B1231"/>
    </row>
    <row r="1232" spans="2:2" x14ac:dyDescent="0.2">
      <c r="B1232"/>
    </row>
    <row r="1233" spans="2:2" x14ac:dyDescent="0.2">
      <c r="B1233"/>
    </row>
    <row r="1234" spans="2:2" x14ac:dyDescent="0.2">
      <c r="B1234"/>
    </row>
    <row r="1235" spans="2:2" x14ac:dyDescent="0.2">
      <c r="B1235"/>
    </row>
    <row r="1236" spans="2:2" x14ac:dyDescent="0.2">
      <c r="B1236"/>
    </row>
    <row r="1237" spans="2:2" x14ac:dyDescent="0.2">
      <c r="B1237"/>
    </row>
    <row r="1238" spans="2:2" x14ac:dyDescent="0.2">
      <c r="B1238"/>
    </row>
    <row r="1239" spans="2:2" x14ac:dyDescent="0.2">
      <c r="B1239"/>
    </row>
    <row r="1240" spans="2:2" x14ac:dyDescent="0.2">
      <c r="B1240"/>
    </row>
    <row r="1241" spans="2:2" x14ac:dyDescent="0.2">
      <c r="B1241"/>
    </row>
    <row r="1242" spans="2:2" x14ac:dyDescent="0.2">
      <c r="B1242"/>
    </row>
    <row r="1243" spans="2:2" x14ac:dyDescent="0.2">
      <c r="B1243"/>
    </row>
    <row r="1244" spans="2:2" x14ac:dyDescent="0.2">
      <c r="B1244"/>
    </row>
    <row r="1245" spans="2:2" x14ac:dyDescent="0.2">
      <c r="B1245"/>
    </row>
    <row r="1246" spans="2:2" x14ac:dyDescent="0.2">
      <c r="B1246"/>
    </row>
    <row r="1247" spans="2:2" x14ac:dyDescent="0.2">
      <c r="B1247"/>
    </row>
    <row r="1248" spans="2:2" x14ac:dyDescent="0.2">
      <c r="B1248"/>
    </row>
    <row r="1249" spans="2:2" x14ac:dyDescent="0.2">
      <c r="B1249"/>
    </row>
    <row r="1250" spans="2:2" x14ac:dyDescent="0.2">
      <c r="B1250"/>
    </row>
    <row r="1251" spans="2:2" x14ac:dyDescent="0.2">
      <c r="B1251"/>
    </row>
    <row r="1252" spans="2:2" x14ac:dyDescent="0.2">
      <c r="B1252"/>
    </row>
    <row r="1253" spans="2:2" x14ac:dyDescent="0.2">
      <c r="B1253"/>
    </row>
    <row r="1254" spans="2:2" x14ac:dyDescent="0.2">
      <c r="B1254"/>
    </row>
    <row r="1255" spans="2:2" x14ac:dyDescent="0.2">
      <c r="B1255"/>
    </row>
    <row r="1256" spans="2:2" x14ac:dyDescent="0.2">
      <c r="B1256"/>
    </row>
    <row r="1257" spans="2:2" x14ac:dyDescent="0.2">
      <c r="B1257"/>
    </row>
    <row r="1258" spans="2:2" x14ac:dyDescent="0.2">
      <c r="B1258"/>
    </row>
    <row r="1259" spans="2:2" x14ac:dyDescent="0.2">
      <c r="B1259"/>
    </row>
    <row r="1260" spans="2:2" x14ac:dyDescent="0.2">
      <c r="B1260"/>
    </row>
    <row r="1261" spans="2:2" x14ac:dyDescent="0.2">
      <c r="B1261"/>
    </row>
    <row r="1262" spans="2:2" x14ac:dyDescent="0.2">
      <c r="B1262"/>
    </row>
    <row r="1263" spans="2:2" x14ac:dyDescent="0.2">
      <c r="B1263"/>
    </row>
    <row r="1264" spans="2:2" x14ac:dyDescent="0.2">
      <c r="B1264"/>
    </row>
    <row r="1265" spans="2:2" x14ac:dyDescent="0.2">
      <c r="B1265"/>
    </row>
    <row r="1266" spans="2:2" x14ac:dyDescent="0.2">
      <c r="B1266"/>
    </row>
    <row r="1267" spans="2:2" x14ac:dyDescent="0.2">
      <c r="B1267"/>
    </row>
    <row r="1268" spans="2:2" x14ac:dyDescent="0.2">
      <c r="B1268"/>
    </row>
    <row r="1269" spans="2:2" x14ac:dyDescent="0.2">
      <c r="B1269"/>
    </row>
    <row r="1270" spans="2:2" x14ac:dyDescent="0.2">
      <c r="B1270"/>
    </row>
    <row r="1271" spans="2:2" x14ac:dyDescent="0.2">
      <c r="B1271"/>
    </row>
    <row r="1272" spans="2:2" x14ac:dyDescent="0.2">
      <c r="B1272"/>
    </row>
    <row r="1273" spans="2:2" x14ac:dyDescent="0.2">
      <c r="B1273"/>
    </row>
    <row r="1274" spans="2:2" x14ac:dyDescent="0.2">
      <c r="B1274"/>
    </row>
    <row r="1275" spans="2:2" x14ac:dyDescent="0.2">
      <c r="B1275"/>
    </row>
    <row r="1276" spans="2:2" x14ac:dyDescent="0.2">
      <c r="B1276"/>
    </row>
    <row r="1277" spans="2:2" x14ac:dyDescent="0.2">
      <c r="B1277"/>
    </row>
    <row r="1278" spans="2:2" x14ac:dyDescent="0.2">
      <c r="B1278"/>
    </row>
    <row r="1279" spans="2:2" x14ac:dyDescent="0.2">
      <c r="B1279"/>
    </row>
    <row r="1280" spans="2:2" x14ac:dyDescent="0.2">
      <c r="B1280"/>
    </row>
    <row r="1281" spans="2:2" x14ac:dyDescent="0.2">
      <c r="B1281"/>
    </row>
    <row r="1282" spans="2:2" x14ac:dyDescent="0.2">
      <c r="B1282"/>
    </row>
    <row r="1283" spans="2:2" x14ac:dyDescent="0.2">
      <c r="B1283"/>
    </row>
    <row r="1284" spans="2:2" x14ac:dyDescent="0.2">
      <c r="B1284"/>
    </row>
    <row r="1285" spans="2:2" x14ac:dyDescent="0.2">
      <c r="B1285"/>
    </row>
    <row r="1286" spans="2:2" x14ac:dyDescent="0.2">
      <c r="B1286"/>
    </row>
    <row r="1287" spans="2:2" x14ac:dyDescent="0.2">
      <c r="B1287"/>
    </row>
    <row r="1288" spans="2:2" x14ac:dyDescent="0.2">
      <c r="B1288"/>
    </row>
    <row r="1289" spans="2:2" x14ac:dyDescent="0.2">
      <c r="B1289"/>
    </row>
    <row r="1290" spans="2:2" x14ac:dyDescent="0.2">
      <c r="B1290"/>
    </row>
    <row r="1291" spans="2:2" x14ac:dyDescent="0.2">
      <c r="B1291"/>
    </row>
    <row r="1292" spans="2:2" x14ac:dyDescent="0.2">
      <c r="B1292"/>
    </row>
    <row r="1293" spans="2:2" x14ac:dyDescent="0.2">
      <c r="B1293"/>
    </row>
    <row r="1294" spans="2:2" x14ac:dyDescent="0.2">
      <c r="B1294"/>
    </row>
    <row r="1295" spans="2:2" x14ac:dyDescent="0.2">
      <c r="B1295"/>
    </row>
    <row r="1296" spans="2:2" x14ac:dyDescent="0.2">
      <c r="B1296"/>
    </row>
    <row r="1297" spans="2:2" x14ac:dyDescent="0.2">
      <c r="B1297"/>
    </row>
    <row r="1298" spans="2:2" x14ac:dyDescent="0.2">
      <c r="B1298"/>
    </row>
    <row r="1299" spans="2:2" x14ac:dyDescent="0.2">
      <c r="B1299"/>
    </row>
    <row r="1300" spans="2:2" x14ac:dyDescent="0.2">
      <c r="B1300"/>
    </row>
    <row r="1301" spans="2:2" x14ac:dyDescent="0.2">
      <c r="B1301"/>
    </row>
    <row r="1302" spans="2:2" x14ac:dyDescent="0.2">
      <c r="B1302"/>
    </row>
    <row r="1303" spans="2:2" x14ac:dyDescent="0.2">
      <c r="B1303"/>
    </row>
    <row r="1304" spans="2:2" x14ac:dyDescent="0.2">
      <c r="B1304"/>
    </row>
    <row r="1305" spans="2:2" x14ac:dyDescent="0.2">
      <c r="B1305"/>
    </row>
    <row r="1306" spans="2:2" x14ac:dyDescent="0.2">
      <c r="B1306"/>
    </row>
    <row r="1307" spans="2:2" x14ac:dyDescent="0.2">
      <c r="B1307"/>
    </row>
    <row r="1308" spans="2:2" x14ac:dyDescent="0.2">
      <c r="B1308"/>
    </row>
    <row r="1309" spans="2:2" x14ac:dyDescent="0.2">
      <c r="B1309"/>
    </row>
    <row r="1310" spans="2:2" x14ac:dyDescent="0.2">
      <c r="B1310"/>
    </row>
    <row r="1311" spans="2:2" x14ac:dyDescent="0.2">
      <c r="B1311"/>
    </row>
    <row r="1312" spans="2:2" x14ac:dyDescent="0.2">
      <c r="B1312"/>
    </row>
    <row r="1313" spans="2:2" x14ac:dyDescent="0.2">
      <c r="B1313"/>
    </row>
    <row r="1314" spans="2:2" x14ac:dyDescent="0.2">
      <c r="B1314"/>
    </row>
    <row r="1315" spans="2:2" x14ac:dyDescent="0.2">
      <c r="B1315"/>
    </row>
    <row r="1316" spans="2:2" x14ac:dyDescent="0.2">
      <c r="B1316"/>
    </row>
    <row r="1317" spans="2:2" x14ac:dyDescent="0.2">
      <c r="B1317"/>
    </row>
    <row r="1318" spans="2:2" x14ac:dyDescent="0.2">
      <c r="B1318"/>
    </row>
    <row r="1319" spans="2:2" x14ac:dyDescent="0.2">
      <c r="B1319"/>
    </row>
    <row r="1320" spans="2:2" x14ac:dyDescent="0.2">
      <c r="B1320"/>
    </row>
    <row r="1321" spans="2:2" x14ac:dyDescent="0.2">
      <c r="B1321"/>
    </row>
    <row r="1322" spans="2:2" x14ac:dyDescent="0.2">
      <c r="B1322"/>
    </row>
    <row r="1323" spans="2:2" x14ac:dyDescent="0.2">
      <c r="B1323"/>
    </row>
    <row r="1324" spans="2:2" x14ac:dyDescent="0.2">
      <c r="B1324"/>
    </row>
    <row r="1325" spans="2:2" x14ac:dyDescent="0.2">
      <c r="B1325"/>
    </row>
    <row r="1326" spans="2:2" x14ac:dyDescent="0.2">
      <c r="B1326"/>
    </row>
    <row r="1327" spans="2:2" x14ac:dyDescent="0.2">
      <c r="B1327"/>
    </row>
    <row r="1328" spans="2:2" x14ac:dyDescent="0.2">
      <c r="B1328"/>
    </row>
    <row r="1329" spans="2:2" x14ac:dyDescent="0.2">
      <c r="B1329"/>
    </row>
    <row r="1330" spans="2:2" x14ac:dyDescent="0.2">
      <c r="B1330"/>
    </row>
    <row r="1331" spans="2:2" x14ac:dyDescent="0.2">
      <c r="B1331"/>
    </row>
    <row r="1332" spans="2:2" x14ac:dyDescent="0.2">
      <c r="B1332"/>
    </row>
    <row r="1333" spans="2:2" x14ac:dyDescent="0.2">
      <c r="B1333"/>
    </row>
    <row r="1334" spans="2:2" x14ac:dyDescent="0.2">
      <c r="B1334"/>
    </row>
    <row r="1335" spans="2:2" x14ac:dyDescent="0.2">
      <c r="B1335"/>
    </row>
    <row r="1336" spans="2:2" x14ac:dyDescent="0.2">
      <c r="B1336"/>
    </row>
    <row r="1337" spans="2:2" x14ac:dyDescent="0.2">
      <c r="B1337"/>
    </row>
    <row r="1338" spans="2:2" x14ac:dyDescent="0.2">
      <c r="B1338"/>
    </row>
    <row r="1339" spans="2:2" x14ac:dyDescent="0.2">
      <c r="B1339"/>
    </row>
    <row r="1340" spans="2:2" x14ac:dyDescent="0.2">
      <c r="B1340"/>
    </row>
    <row r="1341" spans="2:2" x14ac:dyDescent="0.2">
      <c r="B1341"/>
    </row>
    <row r="1342" spans="2:2" x14ac:dyDescent="0.2">
      <c r="B1342"/>
    </row>
    <row r="1343" spans="2:2" x14ac:dyDescent="0.2">
      <c r="B1343"/>
    </row>
    <row r="1344" spans="2:2" x14ac:dyDescent="0.2">
      <c r="B1344"/>
    </row>
    <row r="1345" spans="2:2" x14ac:dyDescent="0.2">
      <c r="B1345"/>
    </row>
    <row r="1346" spans="2:2" x14ac:dyDescent="0.2">
      <c r="B1346"/>
    </row>
    <row r="1347" spans="2:2" x14ac:dyDescent="0.2">
      <c r="B1347"/>
    </row>
    <row r="1348" spans="2:2" x14ac:dyDescent="0.2">
      <c r="B1348"/>
    </row>
    <row r="1349" spans="2:2" x14ac:dyDescent="0.2">
      <c r="B1349"/>
    </row>
    <row r="1350" spans="2:2" x14ac:dyDescent="0.2">
      <c r="B1350"/>
    </row>
    <row r="1351" spans="2:2" x14ac:dyDescent="0.2">
      <c r="B1351"/>
    </row>
    <row r="1352" spans="2:2" x14ac:dyDescent="0.2">
      <c r="B1352"/>
    </row>
    <row r="1353" spans="2:2" x14ac:dyDescent="0.2">
      <c r="B1353"/>
    </row>
    <row r="1354" spans="2:2" x14ac:dyDescent="0.2">
      <c r="B1354"/>
    </row>
    <row r="1355" spans="2:2" x14ac:dyDescent="0.2">
      <c r="B1355"/>
    </row>
    <row r="1356" spans="2:2" x14ac:dyDescent="0.2">
      <c r="B1356"/>
    </row>
    <row r="1357" spans="2:2" x14ac:dyDescent="0.2">
      <c r="B1357"/>
    </row>
    <row r="1358" spans="2:2" x14ac:dyDescent="0.2">
      <c r="B1358"/>
    </row>
    <row r="1359" spans="2:2" x14ac:dyDescent="0.2">
      <c r="B1359"/>
    </row>
    <row r="1360" spans="2:2" x14ac:dyDescent="0.2">
      <c r="B1360"/>
    </row>
    <row r="1361" spans="2:2" x14ac:dyDescent="0.2">
      <c r="B1361"/>
    </row>
    <row r="1362" spans="2:2" x14ac:dyDescent="0.2">
      <c r="B1362"/>
    </row>
    <row r="1363" spans="2:2" x14ac:dyDescent="0.2">
      <c r="B1363"/>
    </row>
    <row r="1364" spans="2:2" x14ac:dyDescent="0.2">
      <c r="B1364"/>
    </row>
    <row r="1365" spans="2:2" x14ac:dyDescent="0.2">
      <c r="B1365"/>
    </row>
    <row r="1366" spans="2:2" x14ac:dyDescent="0.2">
      <c r="B1366"/>
    </row>
    <row r="1367" spans="2:2" x14ac:dyDescent="0.2">
      <c r="B1367"/>
    </row>
    <row r="1368" spans="2:2" x14ac:dyDescent="0.2">
      <c r="B1368"/>
    </row>
    <row r="1369" spans="2:2" x14ac:dyDescent="0.2">
      <c r="B1369"/>
    </row>
    <row r="1370" spans="2:2" x14ac:dyDescent="0.2">
      <c r="B1370"/>
    </row>
    <row r="1371" spans="2:2" x14ac:dyDescent="0.2">
      <c r="B1371"/>
    </row>
    <row r="1372" spans="2:2" x14ac:dyDescent="0.2">
      <c r="B1372"/>
    </row>
    <row r="1373" spans="2:2" x14ac:dyDescent="0.2">
      <c r="B1373"/>
    </row>
    <row r="1374" spans="2:2" x14ac:dyDescent="0.2">
      <c r="B1374"/>
    </row>
    <row r="1375" spans="2:2" x14ac:dyDescent="0.2">
      <c r="B1375"/>
    </row>
    <row r="1376" spans="2:2" x14ac:dyDescent="0.2">
      <c r="B1376"/>
    </row>
    <row r="1377" spans="2:2" x14ac:dyDescent="0.2">
      <c r="B1377"/>
    </row>
    <row r="1378" spans="2:2" x14ac:dyDescent="0.2">
      <c r="B1378"/>
    </row>
    <row r="1379" spans="2:2" x14ac:dyDescent="0.2">
      <c r="B1379"/>
    </row>
    <row r="1380" spans="2:2" x14ac:dyDescent="0.2">
      <c r="B1380"/>
    </row>
    <row r="1381" spans="2:2" x14ac:dyDescent="0.2">
      <c r="B1381"/>
    </row>
    <row r="1382" spans="2:2" x14ac:dyDescent="0.2">
      <c r="B1382"/>
    </row>
    <row r="1383" spans="2:2" x14ac:dyDescent="0.2">
      <c r="B1383"/>
    </row>
    <row r="1384" spans="2:2" x14ac:dyDescent="0.2">
      <c r="B1384"/>
    </row>
    <row r="1385" spans="2:2" x14ac:dyDescent="0.2">
      <c r="B1385"/>
    </row>
    <row r="1386" spans="2:2" x14ac:dyDescent="0.2">
      <c r="B1386"/>
    </row>
    <row r="1387" spans="2:2" x14ac:dyDescent="0.2">
      <c r="B1387"/>
    </row>
    <row r="1388" spans="2:2" x14ac:dyDescent="0.2">
      <c r="B1388"/>
    </row>
    <row r="1389" spans="2:2" x14ac:dyDescent="0.2">
      <c r="B1389"/>
    </row>
    <row r="1390" spans="2:2" x14ac:dyDescent="0.2">
      <c r="B1390"/>
    </row>
    <row r="1391" spans="2:2" x14ac:dyDescent="0.2">
      <c r="B1391"/>
    </row>
    <row r="1392" spans="2:2" x14ac:dyDescent="0.2">
      <c r="B1392"/>
    </row>
    <row r="1393" spans="2:2" x14ac:dyDescent="0.2">
      <c r="B1393"/>
    </row>
    <row r="1394" spans="2:2" x14ac:dyDescent="0.2">
      <c r="B1394"/>
    </row>
    <row r="1395" spans="2:2" x14ac:dyDescent="0.2">
      <c r="B1395"/>
    </row>
    <row r="1396" spans="2:2" x14ac:dyDescent="0.2">
      <c r="B1396"/>
    </row>
    <row r="1397" spans="2:2" x14ac:dyDescent="0.2">
      <c r="B1397"/>
    </row>
    <row r="1398" spans="2:2" x14ac:dyDescent="0.2">
      <c r="B1398"/>
    </row>
    <row r="1399" spans="2:2" x14ac:dyDescent="0.2">
      <c r="B1399"/>
    </row>
    <row r="1400" spans="2:2" x14ac:dyDescent="0.2">
      <c r="B1400"/>
    </row>
    <row r="1401" spans="2:2" x14ac:dyDescent="0.2">
      <c r="B1401"/>
    </row>
    <row r="1402" spans="2:2" x14ac:dyDescent="0.2">
      <c r="B1402"/>
    </row>
    <row r="1403" spans="2:2" x14ac:dyDescent="0.2">
      <c r="B1403"/>
    </row>
    <row r="1404" spans="2:2" x14ac:dyDescent="0.2">
      <c r="B1404"/>
    </row>
    <row r="1405" spans="2:2" x14ac:dyDescent="0.2">
      <c r="B1405"/>
    </row>
    <row r="1406" spans="2:2" x14ac:dyDescent="0.2">
      <c r="B1406"/>
    </row>
    <row r="1407" spans="2:2" x14ac:dyDescent="0.2">
      <c r="B1407"/>
    </row>
    <row r="1408" spans="2:2" x14ac:dyDescent="0.2">
      <c r="B1408"/>
    </row>
    <row r="1409" spans="2:2" x14ac:dyDescent="0.2">
      <c r="B1409"/>
    </row>
    <row r="1410" spans="2:2" x14ac:dyDescent="0.2">
      <c r="B1410"/>
    </row>
    <row r="1411" spans="2:2" x14ac:dyDescent="0.2">
      <c r="B1411"/>
    </row>
    <row r="1412" spans="2:2" x14ac:dyDescent="0.2">
      <c r="B1412"/>
    </row>
    <row r="1413" spans="2:2" x14ac:dyDescent="0.2">
      <c r="B1413"/>
    </row>
    <row r="1414" spans="2:2" x14ac:dyDescent="0.2">
      <c r="B1414"/>
    </row>
    <row r="1415" spans="2:2" x14ac:dyDescent="0.2">
      <c r="B1415"/>
    </row>
    <row r="1416" spans="2:2" x14ac:dyDescent="0.2">
      <c r="B1416"/>
    </row>
    <row r="1417" spans="2:2" x14ac:dyDescent="0.2">
      <c r="B1417"/>
    </row>
    <row r="1418" spans="2:2" x14ac:dyDescent="0.2">
      <c r="B1418"/>
    </row>
    <row r="1419" spans="2:2" x14ac:dyDescent="0.2">
      <c r="B1419"/>
    </row>
    <row r="1420" spans="2:2" x14ac:dyDescent="0.2">
      <c r="B1420"/>
    </row>
    <row r="1421" spans="2:2" x14ac:dyDescent="0.2">
      <c r="B1421"/>
    </row>
    <row r="1422" spans="2:2" x14ac:dyDescent="0.2">
      <c r="B1422"/>
    </row>
    <row r="1423" spans="2:2" x14ac:dyDescent="0.2">
      <c r="B1423"/>
    </row>
    <row r="1424" spans="2:2" x14ac:dyDescent="0.2">
      <c r="B1424"/>
    </row>
    <row r="1425" spans="2:2" x14ac:dyDescent="0.2">
      <c r="B1425"/>
    </row>
    <row r="1426" spans="2:2" x14ac:dyDescent="0.2">
      <c r="B14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techmart_sales-2</vt:lpstr>
      <vt:lpstr>Working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2026-08-30T09:48:22Z</dcterms:created>
  <dcterms:modified xsi:type="dcterms:W3CDTF">2026-09-09T08:14:41Z</dcterms:modified>
</cp:coreProperties>
</file>